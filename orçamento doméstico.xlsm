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cer\Documents\"/>
    </mc:Choice>
  </mc:AlternateContent>
  <bookViews>
    <workbookView xWindow="0" yWindow="0" windowWidth="20490" windowHeight="7755"/>
  </bookViews>
  <sheets>
    <sheet name="Orçamento" sheetId="1" r:id="rId1"/>
    <sheet name="Gráfico Anual" sheetId="2" r:id="rId2"/>
    <sheet name="Gráfico Despesas Mensal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" i="1" l="1"/>
  <c r="B17" i="2" s="1"/>
  <c r="L17" i="3"/>
  <c r="B24" i="1" l="1"/>
  <c r="B25" i="1" s="1"/>
  <c r="C25" i="1" s="1"/>
  <c r="D25" i="1" s="1"/>
  <c r="L89" i="3" l="1"/>
  <c r="L88" i="3"/>
  <c r="L87" i="3"/>
  <c r="L86" i="3"/>
  <c r="L85" i="3"/>
  <c r="L84" i="3"/>
  <c r="L83" i="3"/>
  <c r="L82" i="3"/>
  <c r="L81" i="3"/>
  <c r="L80" i="3"/>
  <c r="L79" i="3"/>
  <c r="L78" i="3"/>
  <c r="B89" i="3"/>
  <c r="B88" i="3"/>
  <c r="B87" i="3"/>
  <c r="B86" i="3"/>
  <c r="B85" i="3"/>
  <c r="B84" i="3"/>
  <c r="B83" i="3"/>
  <c r="B82" i="3"/>
  <c r="B81" i="3"/>
  <c r="B80" i="3"/>
  <c r="B79" i="3"/>
  <c r="B78" i="3"/>
  <c r="L73" i="3"/>
  <c r="L72" i="3"/>
  <c r="L71" i="3"/>
  <c r="L70" i="3"/>
  <c r="L69" i="3"/>
  <c r="L68" i="3"/>
  <c r="L67" i="3"/>
  <c r="L66" i="3"/>
  <c r="L65" i="3"/>
  <c r="L64" i="3"/>
  <c r="L63" i="3"/>
  <c r="L62" i="3"/>
  <c r="B73" i="3"/>
  <c r="B72" i="3"/>
  <c r="B71" i="3"/>
  <c r="B70" i="3"/>
  <c r="B69" i="3"/>
  <c r="B68" i="3"/>
  <c r="B67" i="3"/>
  <c r="B66" i="3"/>
  <c r="B65" i="3"/>
  <c r="B64" i="3"/>
  <c r="B63" i="3"/>
  <c r="B62" i="3"/>
  <c r="L58" i="3"/>
  <c r="L57" i="3"/>
  <c r="L56" i="3"/>
  <c r="L55" i="3"/>
  <c r="L54" i="3"/>
  <c r="L53" i="3"/>
  <c r="L52" i="3"/>
  <c r="L51" i="3"/>
  <c r="L50" i="3"/>
  <c r="L49" i="3"/>
  <c r="L48" i="3"/>
  <c r="L47" i="3"/>
  <c r="B58" i="3"/>
  <c r="B57" i="3"/>
  <c r="B56" i="3"/>
  <c r="B55" i="3"/>
  <c r="B54" i="3"/>
  <c r="B53" i="3"/>
  <c r="B52" i="3"/>
  <c r="B51" i="3"/>
  <c r="B50" i="3"/>
  <c r="B49" i="3"/>
  <c r="B48" i="3"/>
  <c r="B47" i="3"/>
  <c r="L43" i="3"/>
  <c r="L42" i="3"/>
  <c r="L41" i="3"/>
  <c r="L40" i="3"/>
  <c r="L39" i="3"/>
  <c r="L38" i="3"/>
  <c r="L37" i="3"/>
  <c r="L36" i="3"/>
  <c r="L35" i="3"/>
  <c r="L34" i="3"/>
  <c r="L33" i="3"/>
  <c r="L32" i="3"/>
  <c r="B43" i="3"/>
  <c r="B42" i="3"/>
  <c r="B41" i="3"/>
  <c r="B40" i="3"/>
  <c r="B39" i="3"/>
  <c r="B38" i="3"/>
  <c r="B37" i="3"/>
  <c r="B36" i="3"/>
  <c r="B35" i="3"/>
  <c r="B34" i="3"/>
  <c r="B33" i="3"/>
  <c r="B32" i="3"/>
  <c r="L28" i="3" l="1"/>
  <c r="L27" i="3"/>
  <c r="L26" i="3"/>
  <c r="L25" i="3"/>
  <c r="L24" i="3"/>
  <c r="L23" i="3"/>
  <c r="L22" i="3"/>
  <c r="L21" i="3"/>
  <c r="L20" i="3"/>
  <c r="L19" i="3"/>
  <c r="L18" i="3"/>
  <c r="B28" i="3"/>
  <c r="B27" i="3"/>
  <c r="B26" i="3"/>
  <c r="B25" i="3"/>
  <c r="B24" i="3"/>
  <c r="B23" i="3"/>
  <c r="B22" i="3"/>
  <c r="B21" i="3"/>
  <c r="B20" i="3"/>
  <c r="B19" i="3"/>
  <c r="B18" i="3"/>
  <c r="B17" i="3"/>
  <c r="L12" i="3"/>
  <c r="L11" i="3"/>
  <c r="L10" i="3"/>
  <c r="L9" i="3"/>
  <c r="L8" i="3"/>
  <c r="L7" i="3"/>
  <c r="L6" i="3"/>
  <c r="L5" i="3"/>
  <c r="L4" i="3"/>
  <c r="L3" i="3"/>
  <c r="L2" i="3"/>
  <c r="L1" i="3"/>
  <c r="B12" i="3"/>
  <c r="B11" i="3"/>
  <c r="B10" i="3"/>
  <c r="B9" i="3"/>
  <c r="B8" i="3"/>
  <c r="B7" i="3"/>
  <c r="B6" i="3"/>
  <c r="B5" i="3"/>
  <c r="B4" i="3"/>
  <c r="B3" i="3"/>
  <c r="B2" i="3"/>
  <c r="B1" i="3"/>
  <c r="N8" i="1" l="1"/>
  <c r="B6" i="2" s="1"/>
  <c r="N7" i="1"/>
  <c r="B5" i="2" s="1"/>
  <c r="N6" i="1"/>
  <c r="B4" i="2" s="1"/>
  <c r="N5" i="1"/>
  <c r="B3" i="2" s="1"/>
  <c r="N4" i="1"/>
  <c r="B2" i="2" s="1"/>
  <c r="M3" i="1"/>
  <c r="L3" i="1"/>
  <c r="K3" i="1"/>
  <c r="J3" i="1"/>
  <c r="I3" i="1"/>
  <c r="H3" i="1"/>
  <c r="G3" i="1"/>
  <c r="F3" i="1"/>
  <c r="E3" i="1"/>
  <c r="D3" i="1"/>
  <c r="C3" i="1"/>
  <c r="B3" i="1"/>
  <c r="N22" i="1"/>
  <c r="B28" i="2" s="1"/>
  <c r="N21" i="1"/>
  <c r="B27" i="2" s="1"/>
  <c r="N20" i="1"/>
  <c r="B26" i="2" s="1"/>
  <c r="N19" i="1"/>
  <c r="B25" i="2" s="1"/>
  <c r="N18" i="1"/>
  <c r="B24" i="2" s="1"/>
  <c r="N17" i="1"/>
  <c r="B23" i="2" s="1"/>
  <c r="N16" i="1"/>
  <c r="B22" i="2" s="1"/>
  <c r="N15" i="1"/>
  <c r="B21" i="2" s="1"/>
  <c r="N14" i="1"/>
  <c r="B20" i="2" s="1"/>
  <c r="N13" i="1"/>
  <c r="B19" i="2" s="1"/>
  <c r="N12" i="1"/>
  <c r="B18" i="2" s="1"/>
  <c r="M10" i="1"/>
  <c r="L10" i="1"/>
  <c r="K10" i="1"/>
  <c r="J10" i="1"/>
  <c r="I10" i="1"/>
  <c r="I24" i="1" s="1"/>
  <c r="H10" i="1"/>
  <c r="G10" i="1"/>
  <c r="F10" i="1"/>
  <c r="E10" i="1"/>
  <c r="D10" i="1"/>
  <c r="B10" i="1"/>
  <c r="C10" i="1"/>
  <c r="E24" i="1" l="1"/>
  <c r="E25" i="1" s="1"/>
  <c r="G24" i="1"/>
  <c r="K24" i="1"/>
  <c r="M24" i="1"/>
  <c r="D24" i="1"/>
  <c r="H24" i="1"/>
  <c r="J24" i="1"/>
  <c r="L24" i="1"/>
  <c r="F24" i="1"/>
  <c r="N10" i="1"/>
  <c r="C24" i="1"/>
  <c r="N3" i="1"/>
  <c r="F25" i="1" l="1"/>
  <c r="G25" i="1" s="1"/>
  <c r="H25" i="1" s="1"/>
  <c r="I25" i="1" s="1"/>
  <c r="J25" i="1" s="1"/>
  <c r="K25" i="1" s="1"/>
  <c r="L25" i="1" s="1"/>
  <c r="M25" i="1" s="1"/>
  <c r="B30" i="1" s="1"/>
</calcChain>
</file>

<file path=xl/sharedStrings.xml><?xml version="1.0" encoding="utf-8"?>
<sst xmlns="http://schemas.openxmlformats.org/spreadsheetml/2006/main" count="224" uniqueCount="37">
  <si>
    <t>Orçamento Doméstico</t>
  </si>
  <si>
    <t>Contas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</si>
  <si>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</si>
  <si>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</si>
  <si>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</si>
  <si>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</si>
  <si>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</si>
  <si>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</si>
  <si>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</si>
  <si>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</si>
  <si>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</si>
  <si>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</si>
  <si>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</si>
  <si>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</si>
  <si>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Receitas</t>
  </si>
  <si>
    <t>Salários</t>
  </si>
  <si>
    <t>Seguro desemprego</t>
  </si>
  <si>
    <t>Aluguéis</t>
  </si>
  <si>
    <t>Décimo terceiro</t>
  </si>
  <si>
    <t>Férias</t>
  </si>
  <si>
    <t>Rancho</t>
  </si>
  <si>
    <t>Agua</t>
  </si>
  <si>
    <t>luz</t>
  </si>
  <si>
    <t>telefone</t>
  </si>
  <si>
    <t>vestuário</t>
  </si>
  <si>
    <t>internet</t>
  </si>
  <si>
    <t>habitação</t>
  </si>
  <si>
    <t>cabelereiro</t>
  </si>
  <si>
    <t>exames</t>
  </si>
  <si>
    <t>farmácia</t>
  </si>
  <si>
    <t>Despesas</t>
  </si>
  <si>
    <t>Saldo mês</t>
  </si>
  <si>
    <t>academia</t>
  </si>
  <si>
    <t>gasolina</t>
  </si>
  <si>
    <t>Saldo Acumulado</t>
  </si>
  <si>
    <t xml:space="preserve">Saldo inicial  </t>
  </si>
  <si>
    <t>saldo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</si>
</sst>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&quot;\ #,##0.00"/>
  </numFmts>
  <fonts count="1" x14ac:knownFonts="1"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 indent="5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0" fillId="3" borderId="1" xfId="0" applyNumberFormat="1" applyFill="1" applyBorder="1"/>
    <xf numFmtId="164" fontId="0" fillId="5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right" indent="5"/>
    </xf>
    <xf numFmtId="164" fontId="0" fillId="7" borderId="1" xfId="0" applyNumberFormat="1" applyFill="1" applyBorder="1" applyAlignment="1">
      <alignment horizontal="center" vertical="center"/>
    </xf>
    <xf numFmtId="164" fontId="0" fillId="6" borderId="1" xfId="0" applyNumberFormat="1" applyFill="1" applyBorder="1"/>
    <xf numFmtId="164" fontId="0" fillId="3" borderId="1" xfId="0" applyNumberFormat="1" applyFill="1" applyBorder="1" applyAlignment="1">
      <alignment horizontal="right"/>
    </xf>
    <xf numFmtId="0" fontId="0" fillId="8" borderId="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4" borderId="0" xfId="0" applyFill="1" applyAlignment="1">
      <alignment horizontal="right" indent="5"/>
    </xf>
    <xf numFmtId="0" fontId="0" fillId="8" borderId="1" xfId="0" applyFill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Orçamento!$A$24</c:f>
              <c:strCache>
                <c:ptCount val="1"/>
                <c:pt idx="0">
                  <c:v>Saldo mês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>
                <a:solidFill>
                  <a:schemeClr val="dk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Orçamento!$B$23:$M$23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Orçamento!$B$24:$M$24</c:f>
              <c:numCache>
                <c:formatCode>"R$"\ #,##0.00</c:formatCode>
                <c:ptCount val="12"/>
                <c:pt idx="0">
                  <c:v>-126.62</c:v>
                </c:pt>
                <c:pt idx="1">
                  <c:v>0</c:v>
                </c:pt>
                <c:pt idx="2">
                  <c:v>0</c:v>
                </c:pt>
                <c:pt idx="3">
                  <c:v>314.57999999999993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8B-418B-8738-3331C9077C36}"/>
            </c:ext>
          </c:extLst>
        </c:ser>
        <c:ser>
          <c:idx val="1"/>
          <c:order val="1"/>
          <c:tx>
            <c:strRef>
              <c:f>Orçamento!$A$25</c:f>
              <c:strCache>
                <c:ptCount val="1"/>
                <c:pt idx="0">
                  <c:v>Saldo Acumulado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>
                <a:solidFill>
                  <a:schemeClr val="dk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Orçamento!$B$23:$M$23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Orçamento!$B$25:$M$25</c:f>
              <c:numCache>
                <c:formatCode>"R$"\ #,##0.00</c:formatCode>
                <c:ptCount val="12"/>
                <c:pt idx="0">
                  <c:v>-126.62</c:v>
                </c:pt>
                <c:pt idx="1">
                  <c:v>-126.62</c:v>
                </c:pt>
                <c:pt idx="2">
                  <c:v>-126.62</c:v>
                </c:pt>
                <c:pt idx="3">
                  <c:v>187.95999999999992</c:v>
                </c:pt>
                <c:pt idx="4">
                  <c:v>187.95999999999992</c:v>
                </c:pt>
                <c:pt idx="5">
                  <c:v>187.95999999999992</c:v>
                </c:pt>
                <c:pt idx="6">
                  <c:v>187.95999999999992</c:v>
                </c:pt>
                <c:pt idx="7">
                  <c:v>187.95999999999992</c:v>
                </c:pt>
                <c:pt idx="8">
                  <c:v>187.95999999999992</c:v>
                </c:pt>
                <c:pt idx="9">
                  <c:v>187.95999999999992</c:v>
                </c:pt>
                <c:pt idx="10">
                  <c:v>187.95999999999992</c:v>
                </c:pt>
                <c:pt idx="11">
                  <c:v>187.95999999999992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8B-418B-8738-3331C9077C3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89363672"/>
        <c:axId val="389360392"/>
      </c:barChart>
      <c:catAx>
        <c:axId val="38936367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9360392"/>
        <c:crosses val="autoZero"/>
        <c:auto val="1"/>
        <c:lblAlgn val="ctr"/>
        <c:lblOffset val="100"/>
        <c:noMultiLvlLbl val="0"/>
      </c:catAx>
      <c:valAx>
        <c:axId val="3893603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\ #,##0.00" sourceLinked="1"/>
        <c:majorTickMark val="none"/>
        <c:minorTickMark val="none"/>
        <c:tickLblPos val="nextTo"/>
        <c:crossAx val="389363672"/>
        <c:crosses val="autoZero"/>
        <c:crossBetween val="between"/>
      </c:valAx>
      <c:dTable>
        <c:showHorzBorder val="0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Receitas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BD-4F88-AC0A-5D6C8A48375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BD-4F88-AC0A-5D6C8A48375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8BD-4F88-AC0A-5D6C8A48375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8BD-4F88-AC0A-5D6C8A48375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8BD-4F88-AC0A-5D6C8A483759}"/>
              </c:ext>
            </c:extLst>
          </c:dPt>
          <c:dLbls>
            <c:dLbl>
              <c:idx val="0"/>
              <c:layout>
                <c:manualLayout>
                  <c:x val="0.33666191155492153"/>
                  <c:y val="-0.648148148148148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BD-4F88-AC0A-5D6C8A483759}"/>
                </c:ext>
              </c:extLst>
            </c:dLbl>
            <c:dLbl>
              <c:idx val="1"/>
              <c:layout>
                <c:manualLayout>
                  <c:x val="-0.15026153114598195"/>
                  <c:y val="-0.106481481481481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BD-4F88-AC0A-5D6C8A483759}"/>
                </c:ext>
              </c:extLst>
            </c:dLbl>
            <c:dLbl>
              <c:idx val="2"/>
              <c:layout>
                <c:manualLayout>
                  <c:x val="-0.24916785544460296"/>
                  <c:y val="0.2685185185185185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BD-4F88-AC0A-5D6C8A483759}"/>
                </c:ext>
              </c:extLst>
            </c:dLbl>
            <c:dLbl>
              <c:idx val="3"/>
              <c:layout>
                <c:manualLayout>
                  <c:x val="-0.25487398953875418"/>
                  <c:y val="1.38888888888888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BD-4F88-AC0A-5D6C8A483759}"/>
                </c:ext>
              </c:extLst>
            </c:dLbl>
            <c:dLbl>
              <c:idx val="4"/>
              <c:layout>
                <c:manualLayout>
                  <c:x val="0.29291488349976225"/>
                  <c:y val="-5.09259259259259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8BD-4F88-AC0A-5D6C8A483759}"/>
                </c:ext>
              </c:extLst>
            </c:dLbl>
            <c:spPr>
              <a:solidFill>
                <a:schemeClr val="lt1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'Gráfico Anual'!$A$2:$A$6</c:f>
              <c:strCache>
                <c:ptCount val="5"/>
                <c:pt idx="0">
                  <c:v>Salários</c:v>
                </c:pt>
                <c:pt idx="1">
                  <c:v>Seguro desemprego</c:v>
                </c:pt>
                <c:pt idx="2">
                  <c:v>Aluguéis</c:v>
                </c:pt>
                <c:pt idx="3">
                  <c:v>Décimo terceiro</c:v>
                </c:pt>
                <c:pt idx="4">
                  <c:v>Férias</c:v>
                </c:pt>
              </c:strCache>
            </c:strRef>
          </c:cat>
          <c:val>
            <c:numRef>
              <c:f>'Gráfico Anual'!$B$2:$B$6</c:f>
              <c:numCache>
                <c:formatCode>"R$"\ #,##0.00</c:formatCode>
                <c:ptCount val="5"/>
                <c:pt idx="0">
                  <c:v>1818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BD-4F88-AC0A-5D6C8A48375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Despesas</a:t>
            </a:r>
          </a:p>
        </c:rich>
      </c:tx>
      <c:layout>
        <c:manualLayout>
          <c:xMode val="edge"/>
          <c:yMode val="edge"/>
          <c:x val="0.382230052721076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B63-4910-9C3E-265B118F232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B63-4910-9C3E-265B118F232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B63-4910-9C3E-265B118F232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B63-4910-9C3E-265B118F2322}"/>
              </c:ext>
            </c:extLst>
          </c:dPt>
          <c:dPt>
            <c:idx val="4"/>
            <c:bubble3D val="0"/>
            <c:explosion val="3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B63-4910-9C3E-265B118F232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B63-4910-9C3E-265B118F232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B63-4910-9C3E-265B118F232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B63-4910-9C3E-265B118F232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9B63-4910-9C3E-265B118F232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9B63-4910-9C3E-265B118F232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9B63-4910-9C3E-265B118F2322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9B63-4910-9C3E-265B118F2322}"/>
              </c:ext>
            </c:extLst>
          </c:dPt>
          <c:dLbls>
            <c:dLbl>
              <c:idx val="0"/>
              <c:layout>
                <c:manualLayout>
                  <c:x val="4.5649215683748953E-2"/>
                  <c:y val="-0.106481481481481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63-4910-9C3E-265B118F2322}"/>
                </c:ext>
              </c:extLst>
            </c:dLbl>
            <c:dLbl>
              <c:idx val="1"/>
              <c:layout>
                <c:manualLayout>
                  <c:x val="0.17689013042633053"/>
                  <c:y val="-0.1527777777777777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63-4910-9C3E-265B118F2322}"/>
                </c:ext>
              </c:extLst>
            </c:dLbl>
            <c:dLbl>
              <c:idx val="3"/>
              <c:layout>
                <c:manualLayout>
                  <c:x val="0.24536372930103897"/>
                  <c:y val="-0.2916666666666667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63-4910-9C3E-265B118F2322}"/>
                </c:ext>
              </c:extLst>
            </c:dLbl>
            <c:dLbl>
              <c:idx val="4"/>
              <c:layout>
                <c:manualLayout>
                  <c:x val="0.14835946422853527"/>
                  <c:y val="-6.481481481481481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63-4910-9C3E-265B118F2322}"/>
                </c:ext>
              </c:extLst>
            </c:dLbl>
            <c:dLbl>
              <c:idx val="5"/>
              <c:layout>
                <c:manualLayout>
                  <c:x val="0.27199235108564801"/>
                  <c:y val="-2.314814814814831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63-4910-9C3E-265B118F2322}"/>
                </c:ext>
              </c:extLst>
            </c:dLbl>
            <c:dLbl>
              <c:idx val="6"/>
              <c:layout>
                <c:manualLayout>
                  <c:x val="-0.18449830807907591"/>
                  <c:y val="-0.263888888888888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B63-4910-9C3E-265B118F2322}"/>
                </c:ext>
              </c:extLst>
            </c:dLbl>
            <c:dLbl>
              <c:idx val="7"/>
              <c:layout>
                <c:manualLayout>
                  <c:x val="0.31573937258893403"/>
                  <c:y val="0.3703703703703703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B63-4910-9C3E-265B118F2322}"/>
                </c:ext>
              </c:extLst>
            </c:dLbl>
            <c:dLbl>
              <c:idx val="8"/>
              <c:layout>
                <c:manualLayout>
                  <c:x val="-0.28911075080432513"/>
                  <c:y val="0.384259441528142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B63-4910-9C3E-265B118F2322}"/>
                </c:ext>
              </c:extLst>
            </c:dLbl>
            <c:dLbl>
              <c:idx val="9"/>
              <c:layout>
                <c:manualLayout>
                  <c:x val="0.25297190695378452"/>
                  <c:y val="-5.555555555555556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B63-4910-9C3E-265B118F2322}"/>
                </c:ext>
              </c:extLst>
            </c:dLbl>
            <c:dLbl>
              <c:idx val="10"/>
              <c:layout>
                <c:manualLayout>
                  <c:x val="-0.32144550582849313"/>
                  <c:y val="6.01851851851851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B63-4910-9C3E-265B118F2322}"/>
                </c:ext>
              </c:extLst>
            </c:dLbl>
            <c:dLbl>
              <c:idx val="11"/>
              <c:layout>
                <c:manualLayout>
                  <c:x val="-0.24536372930103911"/>
                  <c:y val="-9.722222222222223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9B63-4910-9C3E-265B118F2322}"/>
                </c:ext>
              </c:extLst>
            </c:dLbl>
            <c:spPr>
              <a:solidFill>
                <a:schemeClr val="lt1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'Gráfico Anual'!$A$17:$A$28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Anual'!$B$17:$B$28</c:f>
              <c:numCache>
                <c:formatCode>"R$"\ #,##0.00</c:formatCode>
                <c:ptCount val="12"/>
                <c:pt idx="0">
                  <c:v>243.52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89.9</c:v>
                </c:pt>
                <c:pt idx="6">
                  <c:v>1137</c:v>
                </c:pt>
                <c:pt idx="7">
                  <c:v>0</c:v>
                </c:pt>
                <c:pt idx="8">
                  <c:v>33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63-4910-9C3E-265B118F232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Janeiro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A82A-4D2E-B627-5B962CBBC46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A82A-4D2E-B627-5B962CBBC46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82A-4D2E-B627-5B962CBBC46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82A-4D2E-B627-5B962CBBC46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82A-4D2E-B627-5B962CBBC46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82A-4D2E-B627-5B962CBBC460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82A-4D2E-B627-5B962CBBC460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82A-4D2E-B627-5B962CBBC460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82A-4D2E-B627-5B962CBBC460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82A-4D2E-B627-5B962CBBC460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82A-4D2E-B627-5B962CBBC460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82A-4D2E-B627-5B962CBBC460}"/>
              </c:ext>
            </c:extLst>
          </c:dPt>
          <c:dLbls>
            <c:dLbl>
              <c:idx val="0"/>
              <c:layout>
                <c:manualLayout>
                  <c:x val="0.26186176727909022"/>
                  <c:y val="-3.138013998250221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2A-4D2E-B627-5B962CBBC460}"/>
                </c:ext>
              </c:extLst>
            </c:dLbl>
            <c:dLbl>
              <c:idx val="1"/>
              <c:layout>
                <c:manualLayout>
                  <c:x val="2.0643482064741907E-2"/>
                  <c:y val="-5.418853893263342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2A-4D2E-B627-5B962CBBC460}"/>
                </c:ext>
              </c:extLst>
            </c:dLbl>
            <c:dLbl>
              <c:idx val="2"/>
              <c:layout>
                <c:manualLayout>
                  <c:x val="2.8524496937882764E-2"/>
                  <c:y val="-7.377478856809564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2A-4D2E-B627-5B962CBBC460}"/>
                </c:ext>
              </c:extLst>
            </c:dLbl>
            <c:dLbl>
              <c:idx val="3"/>
              <c:layout>
                <c:manualLayout>
                  <c:x val="3.5439195100612324E-2"/>
                  <c:y val="-6.511373578302712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2A-4D2E-B627-5B962CBBC460}"/>
                </c:ext>
              </c:extLst>
            </c:dLbl>
            <c:dLbl>
              <c:idx val="4"/>
              <c:layout>
                <c:manualLayout>
                  <c:x val="6.2086395450568682E-2"/>
                  <c:y val="-0.1334696704578594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2A-4D2E-B627-5B962CBBC460}"/>
                </c:ext>
              </c:extLst>
            </c:dLbl>
            <c:dLbl>
              <c:idx val="5"/>
              <c:layout>
                <c:manualLayout>
                  <c:x val="0.12246522309711286"/>
                  <c:y val="-1.592629046369203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2A-4D2E-B627-5B962CBBC460}"/>
                </c:ext>
              </c:extLst>
            </c:dLbl>
            <c:dLbl>
              <c:idx val="6"/>
              <c:layout>
                <c:manualLayout>
                  <c:x val="-0.13888888888888892"/>
                  <c:y val="-5.092592592592592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82A-4D2E-B627-5B962CBBC460}"/>
                </c:ext>
              </c:extLst>
            </c:dLbl>
            <c:dLbl>
              <c:idx val="7"/>
              <c:layout>
                <c:manualLayout>
                  <c:x val="-8.6752843394575674E-2"/>
                  <c:y val="-0.2538400408282298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2A-4D2E-B627-5B962CBBC460}"/>
                </c:ext>
              </c:extLst>
            </c:dLbl>
            <c:dLbl>
              <c:idx val="8"/>
              <c:layout>
                <c:manualLayout>
                  <c:x val="-5.3870516185476822E-2"/>
                  <c:y val="-0.1947433654126568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2A-4D2E-B627-5B962CBBC460}"/>
                </c:ext>
              </c:extLst>
            </c:dLbl>
            <c:dLbl>
              <c:idx val="9"/>
              <c:layout>
                <c:manualLayout>
                  <c:x val="-5.7226596675415443E-3"/>
                  <c:y val="-0.1061821959755030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2A-4D2E-B627-5B962CBBC460}"/>
                </c:ext>
              </c:extLst>
            </c:dLbl>
            <c:dLbl>
              <c:idx val="10"/>
              <c:layout>
                <c:manualLayout>
                  <c:x val="-5.0098425196850645E-3"/>
                  <c:y val="-4.24558909303004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2A-4D2E-B627-5B962CBBC460}"/>
                </c:ext>
              </c:extLst>
            </c:dLbl>
            <c:dLbl>
              <c:idx val="11"/>
              <c:layout>
                <c:manualLayout>
                  <c:x val="-4.6886482939632546E-2"/>
                  <c:y val="-5.91579177602799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82A-4D2E-B627-5B962CBBC4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Mensal'!$A$1:$A$12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Despesas Mensal'!$B$1:$B$12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A-4D2E-B627-5B962CBBC46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Fevereiro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FCB-440E-BD50-50BA8717CFA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FCB-440E-BD50-50BA8717CFA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FCB-440E-BD50-50BA8717CFA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AFCB-440E-BD50-50BA8717CFA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FCB-440E-BD50-50BA8717CFA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AFCB-440E-BD50-50BA8717CFAC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FCB-440E-BD50-50BA8717CFAC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FCB-440E-BD50-50BA8717CFAC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FCB-440E-BD50-50BA8717CFAC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FCB-440E-BD50-50BA8717CFAC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FCB-440E-BD50-50BA8717CFAC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FCB-440E-BD50-50BA8717CFAC}"/>
              </c:ext>
            </c:extLst>
          </c:dPt>
          <c:dLbls>
            <c:dLbl>
              <c:idx val="0"/>
              <c:layout>
                <c:manualLayout>
                  <c:x val="0.22222222222222213"/>
                  <c:y val="-7.870370370370370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CB-440E-BD50-50BA8717CFAC}"/>
                </c:ext>
              </c:extLst>
            </c:dLbl>
            <c:dLbl>
              <c:idx val="1"/>
              <c:layout>
                <c:manualLayout>
                  <c:x val="0.11111111111111101"/>
                  <c:y val="-2.777777777777777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CB-440E-BD50-50BA8717CFAC}"/>
                </c:ext>
              </c:extLst>
            </c:dLbl>
            <c:dLbl>
              <c:idx val="2"/>
              <c:layout>
                <c:manualLayout>
                  <c:x val="0.11666666666666667"/>
                  <c:y val="-0.1111111111111111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CB-440E-BD50-50BA8717CFAC}"/>
                </c:ext>
              </c:extLst>
            </c:dLbl>
            <c:dLbl>
              <c:idx val="3"/>
              <c:layout>
                <c:manualLayout>
                  <c:x val="9.7222222222222224E-2"/>
                  <c:y val="-0.18055555555555564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CB-440E-BD50-50BA8717CFAC}"/>
                </c:ext>
              </c:extLst>
            </c:dLbl>
            <c:dLbl>
              <c:idx val="4"/>
              <c:layout>
                <c:manualLayout>
                  <c:x val="9.7222222222222224E-2"/>
                  <c:y val="-0.1388888888888889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CB-440E-BD50-50BA8717CFAC}"/>
                </c:ext>
              </c:extLst>
            </c:dLbl>
            <c:dLbl>
              <c:idx val="5"/>
              <c:layout>
                <c:manualLayout>
                  <c:x val="0.14722222222222223"/>
                  <c:y val="-4.62962962962962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CB-440E-BD50-50BA8717CFAC}"/>
                </c:ext>
              </c:extLst>
            </c:dLbl>
            <c:dLbl>
              <c:idx val="6"/>
              <c:layout>
                <c:manualLayout>
                  <c:x val="-0.20833333333333334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CB-440E-BD50-50BA8717CFAC}"/>
                </c:ext>
              </c:extLst>
            </c:dLbl>
            <c:dLbl>
              <c:idx val="7"/>
              <c:layout>
                <c:manualLayout>
                  <c:x val="-0.12222222222222225"/>
                  <c:y val="-9.72222222222221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CB-440E-BD50-50BA8717CFAC}"/>
                </c:ext>
              </c:extLst>
            </c:dLbl>
            <c:dLbl>
              <c:idx val="8"/>
              <c:layout>
                <c:manualLayout>
                  <c:x val="-6.3888888888888884E-2"/>
                  <c:y val="-6.944444444444444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CB-440E-BD50-50BA8717CFAC}"/>
                </c:ext>
              </c:extLst>
            </c:dLbl>
            <c:dLbl>
              <c:idx val="9"/>
              <c:layout>
                <c:manualLayout>
                  <c:x val="-4.4444444444444439E-2"/>
                  <c:y val="-2.777777777777786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CB-440E-BD50-50BA8717CFAC}"/>
                </c:ext>
              </c:extLst>
            </c:dLbl>
            <c:dLbl>
              <c:idx val="10"/>
              <c:layout>
                <c:manualLayout>
                  <c:x val="-6.6666666666666666E-2"/>
                  <c:y val="-5.092592592592594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CB-440E-BD50-50BA8717CFAC}"/>
                </c:ext>
              </c:extLst>
            </c:dLbl>
            <c:dLbl>
              <c:idx val="11"/>
              <c:layout>
                <c:manualLayout>
                  <c:x val="-7.5000000000000025E-2"/>
                  <c:y val="-6.018518518518518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CB-440E-BD50-50BA8717CF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Mensal'!$K$1:$K$12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Despesas Mensal'!$L$1:$L$12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CB-440E-BD50-50BA8717CF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Março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15B-4280-9253-D3DD9E8712F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715B-4280-9253-D3DD9E8712F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15B-4280-9253-D3DD9E8712F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715B-4280-9253-D3DD9E8712F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15B-4280-9253-D3DD9E8712FD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715B-4280-9253-D3DD9E8712F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715B-4280-9253-D3DD9E8712FD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15B-4280-9253-D3DD9E8712FD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715B-4280-9253-D3DD9E8712FD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15B-4280-9253-D3DD9E8712FD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15B-4280-9253-D3DD9E8712FD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15B-4280-9253-D3DD9E8712FD}"/>
              </c:ext>
            </c:extLst>
          </c:dPt>
          <c:dLbls>
            <c:dLbl>
              <c:idx val="1"/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5B-4280-9253-D3DD9E8712FD}"/>
                </c:ext>
              </c:extLst>
            </c:dLbl>
            <c:dLbl>
              <c:idx val="2"/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15B-4280-9253-D3DD9E8712FD}"/>
                </c:ext>
              </c:extLst>
            </c:dLbl>
            <c:dLbl>
              <c:idx val="3"/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5B-4280-9253-D3DD9E8712FD}"/>
                </c:ext>
              </c:extLst>
            </c:dLbl>
            <c:dLbl>
              <c:idx val="4"/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5B-4280-9253-D3DD9E8712FD}"/>
                </c:ext>
              </c:extLst>
            </c:dLbl>
            <c:dLbl>
              <c:idx val="5"/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5B-4280-9253-D3DD9E8712FD}"/>
                </c:ext>
              </c:extLst>
            </c:dLbl>
            <c:dLbl>
              <c:idx val="6"/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5B-4280-9253-D3DD9E8712FD}"/>
                </c:ext>
              </c:extLst>
            </c:dLbl>
            <c:dLbl>
              <c:idx val="7"/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15B-4280-9253-D3DD9E8712FD}"/>
                </c:ext>
              </c:extLst>
            </c:dLbl>
            <c:dLbl>
              <c:idx val="8"/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5B-4280-9253-D3DD9E8712FD}"/>
                </c:ext>
              </c:extLst>
            </c:dLbl>
            <c:dLbl>
              <c:idx val="9"/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5B-4280-9253-D3DD9E8712FD}"/>
                </c:ext>
              </c:extLst>
            </c:dLbl>
            <c:dLbl>
              <c:idx val="10"/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5B-4280-9253-D3DD9E8712FD}"/>
                </c:ext>
              </c:extLst>
            </c:dLbl>
            <c:dLbl>
              <c:idx val="11"/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15B-4280-9253-D3DD9E8712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Mensal'!$A$17:$A$28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Despesas Mensal'!$B$17:$B$28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5B-4280-9253-D3DD9E8712F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Maio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1DF-46E1-B754-8AABEA10296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1DF-46E1-B754-8AABEA10296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1DF-46E1-B754-8AABEA10296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31DF-46E1-B754-8AABEA10296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1DF-46E1-B754-8AABEA10296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31DF-46E1-B754-8AABEA10296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31DF-46E1-B754-8AABEA10296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1DF-46E1-B754-8AABEA10296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1DF-46E1-B754-8AABEA10296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1DF-46E1-B754-8AABEA10296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31DF-46E1-B754-8AABEA102962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1DF-46E1-B754-8AABEA102962}"/>
              </c:ext>
            </c:extLst>
          </c:dPt>
          <c:dLbls>
            <c:dLbl>
              <c:idx val="0"/>
              <c:layout>
                <c:manualLayout>
                  <c:x val="0.25098039215686263"/>
                  <c:y val="-8.796296296296296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DF-46E1-B754-8AABEA102962}"/>
                </c:ext>
              </c:extLst>
            </c:dLbl>
            <c:dLbl>
              <c:idx val="1"/>
              <c:layout>
                <c:manualLayout>
                  <c:x val="0.1673202614379084"/>
                  <c:y val="-3.240740740740740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DF-46E1-B754-8AABEA102962}"/>
                </c:ext>
              </c:extLst>
            </c:dLbl>
            <c:dLbl>
              <c:idx val="2"/>
              <c:layout>
                <c:manualLayout>
                  <c:x val="0.13333333333333333"/>
                  <c:y val="-8.333333333333332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DF-46E1-B754-8AABEA102962}"/>
                </c:ext>
              </c:extLst>
            </c:dLbl>
            <c:dLbl>
              <c:idx val="3"/>
              <c:layout>
                <c:manualLayout>
                  <c:x val="0.10196078431372549"/>
                  <c:y val="-0.15277777777777779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DF-46E1-B754-8AABEA102962}"/>
                </c:ext>
              </c:extLst>
            </c:dLbl>
            <c:dLbl>
              <c:idx val="4"/>
              <c:layout>
                <c:manualLayout>
                  <c:x val="0.14640522875816983"/>
                  <c:y val="-0.20833333333333334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DF-46E1-B754-8AABEA102962}"/>
                </c:ext>
              </c:extLst>
            </c:dLbl>
            <c:dLbl>
              <c:idx val="5"/>
              <c:layout>
                <c:manualLayout>
                  <c:x val="0.22483660130718944"/>
                  <c:y val="-0.111111111111111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DF-46E1-B754-8AABEA102962}"/>
                </c:ext>
              </c:extLst>
            </c:dLbl>
            <c:dLbl>
              <c:idx val="6"/>
              <c:layout>
                <c:manualLayout>
                  <c:x val="-0.22222222222222221"/>
                  <c:y val="-0.111111111111111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DF-46E1-B754-8AABEA102962}"/>
                </c:ext>
              </c:extLst>
            </c:dLbl>
            <c:dLbl>
              <c:idx val="7"/>
              <c:layout>
                <c:manualLayout>
                  <c:x val="-0.11503267973856209"/>
                  <c:y val="-0.2129629629629628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DF-46E1-B754-8AABEA102962}"/>
                </c:ext>
              </c:extLst>
            </c:dLbl>
            <c:dLbl>
              <c:idx val="8"/>
              <c:layout>
                <c:manualLayout>
                  <c:x val="-9.1503267973856203E-2"/>
                  <c:y val="-0.171296296296296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DF-46E1-B754-8AABEA102962}"/>
                </c:ext>
              </c:extLst>
            </c:dLbl>
            <c:dLbl>
              <c:idx val="9"/>
              <c:layout>
                <c:manualLayout>
                  <c:x val="-8.3660130718954243E-2"/>
                  <c:y val="-0.111111111111111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1DF-46E1-B754-8AABEA102962}"/>
                </c:ext>
              </c:extLst>
            </c:dLbl>
            <c:dLbl>
              <c:idx val="10"/>
              <c:layout>
                <c:manualLayout>
                  <c:x val="-0.10980392156862745"/>
                  <c:y val="-5.555555555555553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DF-46E1-B754-8AABEA102962}"/>
                </c:ext>
              </c:extLst>
            </c:dLbl>
            <c:dLbl>
              <c:idx val="11"/>
              <c:layout>
                <c:manualLayout>
                  <c:x val="-9.9346405228758164E-2"/>
                  <c:y val="-0.101851851851851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DF-46E1-B754-8AABEA1029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Mensal'!$A$32:$A$43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Despesas Mensal'!$B$32:$B$43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DF-46E1-B754-8AABEA10296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Junho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71-44C7-AF67-FE5264C56B9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D271-44C7-AF67-FE5264C56B9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271-44C7-AF67-FE5264C56B9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D271-44C7-AF67-FE5264C56B9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271-44C7-AF67-FE5264C56B9D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D271-44C7-AF67-FE5264C56B9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D271-44C7-AF67-FE5264C56B9D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71-44C7-AF67-FE5264C56B9D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271-44C7-AF67-FE5264C56B9D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71-44C7-AF67-FE5264C56B9D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271-44C7-AF67-FE5264C56B9D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71-44C7-AF67-FE5264C56B9D}"/>
              </c:ext>
            </c:extLst>
          </c:dPt>
          <c:dLbls>
            <c:dLbl>
              <c:idx val="0"/>
              <c:layout>
                <c:manualLayout>
                  <c:x val="0.28055555555555545"/>
                  <c:y val="-6.944444444444444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71-44C7-AF67-FE5264C56B9D}"/>
                </c:ext>
              </c:extLst>
            </c:dLbl>
            <c:dLbl>
              <c:idx val="1"/>
              <c:layout>
                <c:manualLayout>
                  <c:x val="0.17777777777777767"/>
                  <c:y val="-1.851851851851851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71-44C7-AF67-FE5264C56B9D}"/>
                </c:ext>
              </c:extLst>
            </c:dLbl>
            <c:dLbl>
              <c:idx val="2"/>
              <c:layout>
                <c:manualLayout>
                  <c:x val="0.13055555555555556"/>
                  <c:y val="-6.944444444444444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71-44C7-AF67-FE5264C56B9D}"/>
                </c:ext>
              </c:extLst>
            </c:dLbl>
            <c:dLbl>
              <c:idx val="3"/>
              <c:layout>
                <c:manualLayout>
                  <c:x val="0.11388888888888889"/>
                  <c:y val="-0.1203703703703704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71-44C7-AF67-FE5264C56B9D}"/>
                </c:ext>
              </c:extLst>
            </c:dLbl>
            <c:dLbl>
              <c:idx val="4"/>
              <c:layout>
                <c:manualLayout>
                  <c:x val="0.12777777777777768"/>
                  <c:y val="-0.1666666666666666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71-44C7-AF67-FE5264C56B9D}"/>
                </c:ext>
              </c:extLst>
            </c:dLbl>
            <c:dLbl>
              <c:idx val="5"/>
              <c:layout>
                <c:manualLayout>
                  <c:x val="0.20833333333333334"/>
                  <c:y val="-6.481481481481481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71-44C7-AF67-FE5264C56B9D}"/>
                </c:ext>
              </c:extLst>
            </c:dLbl>
            <c:dLbl>
              <c:idx val="6"/>
              <c:layout>
                <c:manualLayout>
                  <c:x val="-0.21111111111111114"/>
                  <c:y val="-1.388888888888888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71-44C7-AF67-FE5264C56B9D}"/>
                </c:ext>
              </c:extLst>
            </c:dLbl>
            <c:dLbl>
              <c:idx val="7"/>
              <c:layout>
                <c:manualLayout>
                  <c:x val="-0.10555555555555556"/>
                  <c:y val="-0.1203703703703703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71-44C7-AF67-FE5264C56B9D}"/>
                </c:ext>
              </c:extLst>
            </c:dLbl>
            <c:dLbl>
              <c:idx val="8"/>
              <c:layout>
                <c:manualLayout>
                  <c:x val="-9.166666666666666E-2"/>
                  <c:y val="-9.722222222222230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71-44C7-AF67-FE5264C56B9D}"/>
                </c:ext>
              </c:extLst>
            </c:dLbl>
            <c:dLbl>
              <c:idx val="9"/>
              <c:layout>
                <c:manualLayout>
                  <c:x val="-6.9444444444444448E-2"/>
                  <c:y val="-8.796296296296296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71-44C7-AF67-FE5264C56B9D}"/>
                </c:ext>
              </c:extLst>
            </c:dLbl>
            <c:dLbl>
              <c:idx val="10"/>
              <c:layout>
                <c:manualLayout>
                  <c:x val="-0.10555555555555556"/>
                  <c:y val="-4.166666666666666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71-44C7-AF67-FE5264C56B9D}"/>
                </c:ext>
              </c:extLst>
            </c:dLbl>
            <c:dLbl>
              <c:idx val="11"/>
              <c:layout>
                <c:manualLayout>
                  <c:x val="-0.16666666666666666"/>
                  <c:y val="-9.259259259259260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271-44C7-AF67-FE5264C56B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Mensal'!$K$32:$K$43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Despesas Mensal'!$L$32:$L$43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71-44C7-AF67-FE5264C56B9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Julho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B23-4513-9FB1-FAE0140C002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B23-4513-9FB1-FAE0140C002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B23-4513-9FB1-FAE0140C002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B23-4513-9FB1-FAE0140C002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23-4513-9FB1-FAE0140C0024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DB23-4513-9FB1-FAE0140C0024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DB23-4513-9FB1-FAE0140C0024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B23-4513-9FB1-FAE0140C0024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DB23-4513-9FB1-FAE0140C0024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B23-4513-9FB1-FAE0140C0024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DB23-4513-9FB1-FAE0140C0024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B23-4513-9FB1-FAE0140C0024}"/>
              </c:ext>
            </c:extLst>
          </c:dPt>
          <c:dLbls>
            <c:dLbl>
              <c:idx val="0"/>
              <c:layout>
                <c:manualLayout>
                  <c:x val="0.21827744904667981"/>
                  <c:y val="-9.259259259259260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23-4513-9FB1-FAE0140C0024}"/>
                </c:ext>
              </c:extLst>
            </c:dLbl>
            <c:dLbl>
              <c:idx val="1"/>
              <c:layout>
                <c:manualLayout>
                  <c:x val="0.15253122945430639"/>
                  <c:y val="-2.314814814814814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23-4513-9FB1-FAE0140C0024}"/>
                </c:ext>
              </c:extLst>
            </c:dLbl>
            <c:dLbl>
              <c:idx val="2"/>
              <c:layout>
                <c:manualLayout>
                  <c:x val="0.13412228796844181"/>
                  <c:y val="-6.01851851851852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23-4513-9FB1-FAE0140C0024}"/>
                </c:ext>
              </c:extLst>
            </c:dLbl>
            <c:dLbl>
              <c:idx val="3"/>
              <c:layout>
                <c:manualLayout>
                  <c:x val="9.4674556213017846E-2"/>
                  <c:y val="-0.1203703703703704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23-4513-9FB1-FAE0140C0024}"/>
                </c:ext>
              </c:extLst>
            </c:dLbl>
            <c:dLbl>
              <c:idx val="4"/>
              <c:layout>
                <c:manualLayout>
                  <c:x val="0.13412228796844172"/>
                  <c:y val="-0.15277777777777779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23-4513-9FB1-FAE0140C0024}"/>
                </c:ext>
              </c:extLst>
            </c:dLbl>
            <c:dLbl>
              <c:idx val="5"/>
              <c:layout>
                <c:manualLayout>
                  <c:x val="0.20512820512820512"/>
                  <c:y val="-5.555555555555555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23-4513-9FB1-FAE0140C0024}"/>
                </c:ext>
              </c:extLst>
            </c:dLbl>
            <c:dLbl>
              <c:idx val="6"/>
              <c:layout>
                <c:manualLayout>
                  <c:x val="-0.17357001972386588"/>
                  <c:y val="-7.870370370370370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23-4513-9FB1-FAE0140C0024}"/>
                </c:ext>
              </c:extLst>
            </c:dLbl>
            <c:dLbl>
              <c:idx val="7"/>
              <c:layout>
                <c:manualLayout>
                  <c:x val="-0.10519395134779751"/>
                  <c:y val="-0.1759259259259259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23-4513-9FB1-FAE0140C0024}"/>
                </c:ext>
              </c:extLst>
            </c:dLbl>
            <c:dLbl>
              <c:idx val="8"/>
              <c:layout>
                <c:manualLayout>
                  <c:x val="-8.941485864562787E-2"/>
                  <c:y val="-0.1342592592592592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23-4513-9FB1-FAE0140C0024}"/>
                </c:ext>
              </c:extLst>
            </c:dLbl>
            <c:dLbl>
              <c:idx val="9"/>
              <c:layout>
                <c:manualLayout>
                  <c:x val="-8.941485864562787E-2"/>
                  <c:y val="-8.333333333333332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B23-4513-9FB1-FAE0140C0024}"/>
                </c:ext>
              </c:extLst>
            </c:dLbl>
            <c:dLbl>
              <c:idx val="10"/>
              <c:layout>
                <c:manualLayout>
                  <c:x val="-0.12886259040105194"/>
                  <c:y val="-3.703703703703701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23-4513-9FB1-FAE0140C0024}"/>
                </c:ext>
              </c:extLst>
            </c:dLbl>
            <c:dLbl>
              <c:idx val="11"/>
              <c:layout>
                <c:manualLayout>
                  <c:x val="-7.8895463510848154E-2"/>
                  <c:y val="-8.333333333333334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23-4513-9FB1-FAE0140C00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Mensal'!$A$47:$A$58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Despesas Mensal'!$B$47:$B$58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23-4513-9FB1-FAE0140C002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Agosto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0AA-48C5-8255-347431C7CD1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AA-48C5-8255-347431C7CD1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0AA-48C5-8255-347431C7CD1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AA-48C5-8255-347431C7CD1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0AA-48C5-8255-347431C7CD1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AA-48C5-8255-347431C7CD1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F0AA-48C5-8255-347431C7CD1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AA-48C5-8255-347431C7CD1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F0AA-48C5-8255-347431C7CD1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AA-48C5-8255-347431C7CD18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AA-48C5-8255-347431C7CD18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F0AA-48C5-8255-347431C7CD18}"/>
              </c:ext>
            </c:extLst>
          </c:dPt>
          <c:dLbls>
            <c:dLbl>
              <c:idx val="0"/>
              <c:layout>
                <c:manualLayout>
                  <c:x val="0.24999999999999989"/>
                  <c:y val="-6.944444444444444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AA-48C5-8255-347431C7CD18}"/>
                </c:ext>
              </c:extLst>
            </c:dLbl>
            <c:dLbl>
              <c:idx val="1"/>
              <c:layout>
                <c:manualLayout>
                  <c:x val="0.16666666666666657"/>
                  <c:y val="-1.388888888888888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AA-48C5-8255-347431C7CD18}"/>
                </c:ext>
              </c:extLst>
            </c:dLbl>
            <c:dLbl>
              <c:idx val="2"/>
              <c:layout>
                <c:manualLayout>
                  <c:x val="0.14166666666666666"/>
                  <c:y val="-5.555555555555555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AA-48C5-8255-347431C7CD18}"/>
                </c:ext>
              </c:extLst>
            </c:dLbl>
            <c:dLbl>
              <c:idx val="3"/>
              <c:layout>
                <c:manualLayout>
                  <c:x val="0.1"/>
                  <c:y val="-0.11574074074074074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0AA-48C5-8255-347431C7CD18}"/>
                </c:ext>
              </c:extLst>
            </c:dLbl>
            <c:dLbl>
              <c:idx val="4"/>
              <c:layout>
                <c:manualLayout>
                  <c:x val="0.11666666666666667"/>
                  <c:y val="-0.1666666666666666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AA-48C5-8255-347431C7CD18}"/>
                </c:ext>
              </c:extLst>
            </c:dLbl>
            <c:dLbl>
              <c:idx val="5"/>
              <c:layout>
                <c:manualLayout>
                  <c:x val="0.17499999999999991"/>
                  <c:y val="-6.944444444444444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AA-48C5-8255-347431C7CD18}"/>
                </c:ext>
              </c:extLst>
            </c:dLbl>
            <c:dLbl>
              <c:idx val="6"/>
              <c:layout>
                <c:manualLayout>
                  <c:x val="-0.21111111111111114"/>
                  <c:y val="-6.481481481481481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AA-48C5-8255-347431C7CD18}"/>
                </c:ext>
              </c:extLst>
            </c:dLbl>
            <c:dLbl>
              <c:idx val="7"/>
              <c:layout>
                <c:manualLayout>
                  <c:x val="-0.10277777777777777"/>
                  <c:y val="-0.1574074074074074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AA-48C5-8255-347431C7CD18}"/>
                </c:ext>
              </c:extLst>
            </c:dLbl>
            <c:dLbl>
              <c:idx val="8"/>
              <c:layout>
                <c:manualLayout>
                  <c:x val="-8.3333333333333329E-2"/>
                  <c:y val="-0.111111111111111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AA-48C5-8255-347431C7CD18}"/>
                </c:ext>
              </c:extLst>
            </c:dLbl>
            <c:dLbl>
              <c:idx val="9"/>
              <c:layout>
                <c:manualLayout>
                  <c:x val="-7.7777777777777779E-2"/>
                  <c:y val="-6.481481481481485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0AA-48C5-8255-347431C7CD18}"/>
                </c:ext>
              </c:extLst>
            </c:dLbl>
            <c:dLbl>
              <c:idx val="10"/>
              <c:layout>
                <c:manualLayout>
                  <c:x val="-8.3333333333333329E-2"/>
                  <c:y val="-2.314814814814814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AA-48C5-8255-347431C7CD18}"/>
                </c:ext>
              </c:extLst>
            </c:dLbl>
            <c:dLbl>
              <c:idx val="11"/>
              <c:layout>
                <c:manualLayout>
                  <c:x val="-0.21388888888888888"/>
                  <c:y val="-8.796296296296296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AA-48C5-8255-347431C7CD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Mensal'!$K$47:$K$58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Despesas Mensal'!$L$47:$L$58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A-48C5-8255-347431C7CD1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Setembro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169-4D6B-8371-B1C8D1022CC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169-4D6B-8371-B1C8D1022CC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169-4D6B-8371-B1C8D1022CC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169-4D6B-8371-B1C8D1022CC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169-4D6B-8371-B1C8D1022CC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169-4D6B-8371-B1C8D1022CC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A169-4D6B-8371-B1C8D1022CC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169-4D6B-8371-B1C8D1022CC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A169-4D6B-8371-B1C8D1022CC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169-4D6B-8371-B1C8D1022CC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169-4D6B-8371-B1C8D1022CC2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169-4D6B-8371-B1C8D1022CC2}"/>
              </c:ext>
            </c:extLst>
          </c:dPt>
          <c:dLbls>
            <c:dLbl>
              <c:idx val="0"/>
              <c:layout>
                <c:manualLayout>
                  <c:x val="0.22500000000000001"/>
                  <c:y val="-8.79629629629629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69-4D6B-8371-B1C8D1022CC2}"/>
                </c:ext>
              </c:extLst>
            </c:dLbl>
            <c:dLbl>
              <c:idx val="1"/>
              <c:layout>
                <c:manualLayout>
                  <c:x val="8.611111111111111E-2"/>
                  <c:y val="-6.944444444444448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69-4D6B-8371-B1C8D1022CC2}"/>
                </c:ext>
              </c:extLst>
            </c:dLbl>
            <c:dLbl>
              <c:idx val="2"/>
              <c:layout>
                <c:manualLayout>
                  <c:x val="3.3333333333333333E-2"/>
                  <c:y val="-0.1435185185185185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69-4D6B-8371-B1C8D1022CC2}"/>
                </c:ext>
              </c:extLst>
            </c:dLbl>
            <c:dLbl>
              <c:idx val="3"/>
              <c:layout>
                <c:manualLayout>
                  <c:x val="5.5555555555555455E-2"/>
                  <c:y val="-0.2407407407407407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69-4D6B-8371-B1C8D1022CC2}"/>
                </c:ext>
              </c:extLst>
            </c:dLbl>
            <c:dLbl>
              <c:idx val="4"/>
              <c:layout>
                <c:manualLayout>
                  <c:x val="0.12777777777777777"/>
                  <c:y val="-0.1574074074074074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69-4D6B-8371-B1C8D1022CC2}"/>
                </c:ext>
              </c:extLst>
            </c:dLbl>
            <c:dLbl>
              <c:idx val="5"/>
              <c:layout>
                <c:manualLayout>
                  <c:x val="0.17777777777777778"/>
                  <c:y val="-2.31481481481481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69-4D6B-8371-B1C8D1022CC2}"/>
                </c:ext>
              </c:extLst>
            </c:dLbl>
            <c:dLbl>
              <c:idx val="6"/>
              <c:layout>
                <c:manualLayout>
                  <c:x val="-0.18611111111111112"/>
                  <c:y val="-4.629629629629629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69-4D6B-8371-B1C8D1022CC2}"/>
                </c:ext>
              </c:extLst>
            </c:dLbl>
            <c:dLbl>
              <c:idx val="7"/>
              <c:layout>
                <c:manualLayout>
                  <c:x val="-0.10555555555555556"/>
                  <c:y val="-0.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69-4D6B-8371-B1C8D1022CC2}"/>
                </c:ext>
              </c:extLst>
            </c:dLbl>
            <c:dLbl>
              <c:idx val="8"/>
              <c:layout>
                <c:manualLayout>
                  <c:x val="-9.4444444444444442E-2"/>
                  <c:y val="-0.1018518518518518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69-4D6B-8371-B1C8D1022CC2}"/>
                </c:ext>
              </c:extLst>
            </c:dLbl>
            <c:dLbl>
              <c:idx val="9"/>
              <c:layout>
                <c:manualLayout>
                  <c:x val="-4.1666666666666671E-2"/>
                  <c:y val="-9.72222222222222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69-4D6B-8371-B1C8D1022CC2}"/>
                </c:ext>
              </c:extLst>
            </c:dLbl>
            <c:dLbl>
              <c:idx val="10"/>
              <c:layout>
                <c:manualLayout>
                  <c:x val="-8.3333333333333329E-2"/>
                  <c:y val="-4.6296296296296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69-4D6B-8371-B1C8D1022CC2}"/>
                </c:ext>
              </c:extLst>
            </c:dLbl>
            <c:dLbl>
              <c:idx val="11"/>
              <c:layout>
                <c:manualLayout>
                  <c:x val="-0.12777777777777777"/>
                  <c:y val="-0.106481481481481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69-4D6B-8371-B1C8D1022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Mensal'!$A$62:$A$73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Despesas Mensal'!$B$62:$B$73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9-4D6B-8371-B1C8D1022CC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Outubro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F73-47D9-B53C-FAFDC3C3F8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F73-47D9-B53C-FAFDC3C3F86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F73-47D9-B53C-FAFDC3C3F86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F73-47D9-B53C-FAFDC3C3F86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F73-47D9-B53C-FAFDC3C3F86D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DF73-47D9-B53C-FAFDC3C3F86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DF73-47D9-B53C-FAFDC3C3F86D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F73-47D9-B53C-FAFDC3C3F86D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DF73-47D9-B53C-FAFDC3C3F86D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F73-47D9-B53C-FAFDC3C3F86D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DF73-47D9-B53C-FAFDC3C3F86D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F73-47D9-B53C-FAFDC3C3F86D}"/>
              </c:ext>
            </c:extLst>
          </c:dPt>
          <c:dLbls>
            <c:dLbl>
              <c:idx val="0"/>
              <c:layout>
                <c:manualLayout>
                  <c:x val="0.33055555555555544"/>
                  <c:y val="-0.106481481481481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F73-47D9-B53C-FAFDC3C3F86D}"/>
                </c:ext>
              </c:extLst>
            </c:dLbl>
            <c:dLbl>
              <c:idx val="1"/>
              <c:layout>
                <c:manualLayout>
                  <c:x val="0.17777777777777767"/>
                  <c:y val="-4.6296296296296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73-47D9-B53C-FAFDC3C3F86D}"/>
                </c:ext>
              </c:extLst>
            </c:dLbl>
            <c:dLbl>
              <c:idx val="2"/>
              <c:layout>
                <c:manualLayout>
                  <c:x val="0.125"/>
                  <c:y val="-8.333333333333332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73-47D9-B53C-FAFDC3C3F86D}"/>
                </c:ext>
              </c:extLst>
            </c:dLbl>
            <c:dLbl>
              <c:idx val="3"/>
              <c:layout>
                <c:manualLayout>
                  <c:x val="0.1"/>
                  <c:y val="-0.1342592592592592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73-47D9-B53C-FAFDC3C3F86D}"/>
                </c:ext>
              </c:extLst>
            </c:dLbl>
            <c:dLbl>
              <c:idx val="4"/>
              <c:layout>
                <c:manualLayout>
                  <c:x val="0.12777777777777768"/>
                  <c:y val="-0.1712962962962962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73-47D9-B53C-FAFDC3C3F86D}"/>
                </c:ext>
              </c:extLst>
            </c:dLbl>
            <c:dLbl>
              <c:idx val="5"/>
              <c:layout>
                <c:manualLayout>
                  <c:x val="0.23333333333333334"/>
                  <c:y val="-5.09259259259259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73-47D9-B53C-FAFDC3C3F86D}"/>
                </c:ext>
              </c:extLst>
            </c:dLbl>
            <c:dLbl>
              <c:idx val="6"/>
              <c:layout>
                <c:manualLayout>
                  <c:x val="-0.19166666666666668"/>
                  <c:y val="-2.777777777777777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73-47D9-B53C-FAFDC3C3F86D}"/>
                </c:ext>
              </c:extLst>
            </c:dLbl>
            <c:dLbl>
              <c:idx val="7"/>
              <c:layout>
                <c:manualLayout>
                  <c:x val="-0.1"/>
                  <c:y val="-0.1342592592592591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73-47D9-B53C-FAFDC3C3F86D}"/>
                </c:ext>
              </c:extLst>
            </c:dLbl>
            <c:dLbl>
              <c:idx val="8"/>
              <c:layout>
                <c:manualLayout>
                  <c:x val="-8.611111111111111E-2"/>
                  <c:y val="-0.106481481481481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73-47D9-B53C-FAFDC3C3F86D}"/>
                </c:ext>
              </c:extLst>
            </c:dLbl>
            <c:dLbl>
              <c:idx val="9"/>
              <c:layout>
                <c:manualLayout>
                  <c:x val="-7.7777777777777779E-2"/>
                  <c:y val="-6.0185185185185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F73-47D9-B53C-FAFDC3C3F86D}"/>
                </c:ext>
              </c:extLst>
            </c:dLbl>
            <c:dLbl>
              <c:idx val="10"/>
              <c:layout>
                <c:manualLayout>
                  <c:x val="-0.11666666666666667"/>
                  <c:y val="-1.388888888888888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73-47D9-B53C-FAFDC3C3F86D}"/>
                </c:ext>
              </c:extLst>
            </c:dLbl>
            <c:dLbl>
              <c:idx val="11"/>
              <c:layout>
                <c:manualLayout>
                  <c:x val="-0.125"/>
                  <c:y val="-8.333333333333334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73-47D9-B53C-FAFDC3C3F8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Mensal'!$K$62:$K$73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Despesas Mensal'!$L$62:$L$73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3-47D9-B53C-FAFDC3C3F86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Novembro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F72-499A-AA48-2E0DFC5F423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F72-499A-AA48-2E0DFC5F423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F72-499A-AA48-2E0DFC5F423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F72-499A-AA48-2E0DFC5F423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F72-499A-AA48-2E0DFC5F423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9F72-499A-AA48-2E0DFC5F423C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F72-499A-AA48-2E0DFC5F423C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F72-499A-AA48-2E0DFC5F423C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9F72-499A-AA48-2E0DFC5F423C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F72-499A-AA48-2E0DFC5F423C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9F72-499A-AA48-2E0DFC5F423C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F72-499A-AA48-2E0DFC5F423C}"/>
              </c:ext>
            </c:extLst>
          </c:dPt>
          <c:dLbls>
            <c:dLbl>
              <c:idx val="0"/>
              <c:layout>
                <c:manualLayout>
                  <c:x val="0.32220039292730834"/>
                  <c:y val="-6.94444444444444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F72-499A-AA48-2E0DFC5F423C}"/>
                </c:ext>
              </c:extLst>
            </c:dLbl>
            <c:dLbl>
              <c:idx val="1"/>
              <c:layout>
                <c:manualLayout>
                  <c:x val="0.18860510805500982"/>
                  <c:y val="-9.259259259259258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72-499A-AA48-2E0DFC5F423C}"/>
                </c:ext>
              </c:extLst>
            </c:dLbl>
            <c:dLbl>
              <c:idx val="2"/>
              <c:layout>
                <c:manualLayout>
                  <c:x val="0.13883431565160445"/>
                  <c:y val="-4.6296296296296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72-499A-AA48-2E0DFC5F423C}"/>
                </c:ext>
              </c:extLst>
            </c:dLbl>
            <c:dLbl>
              <c:idx val="3"/>
              <c:layout>
                <c:manualLayout>
                  <c:x val="0.11787819253438114"/>
                  <c:y val="-0.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72-499A-AA48-2E0DFC5F423C}"/>
                </c:ext>
              </c:extLst>
            </c:dLbl>
            <c:dLbl>
              <c:idx val="4"/>
              <c:layout>
                <c:manualLayout>
                  <c:x val="0.15979043876882776"/>
                  <c:y val="-0.1527777777777777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72-499A-AA48-2E0DFC5F423C}"/>
                </c:ext>
              </c:extLst>
            </c:dLbl>
            <c:dLbl>
              <c:idx val="5"/>
              <c:layout>
                <c:manualLayout>
                  <c:x val="0.22789783889980345"/>
                  <c:y val="-5.555555555555555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72-499A-AA48-2E0DFC5F423C}"/>
                </c:ext>
              </c:extLst>
            </c:dLbl>
            <c:dLbl>
              <c:idx val="6"/>
              <c:layout>
                <c:manualLayout>
                  <c:x val="-0.18074656188605109"/>
                  <c:y val="-4.166666666666666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72-499A-AA48-2E0DFC5F423C}"/>
                </c:ext>
              </c:extLst>
            </c:dLbl>
            <c:dLbl>
              <c:idx val="7"/>
              <c:layout>
                <c:manualLayout>
                  <c:x val="-0.1100196463654224"/>
                  <c:y val="-0.1388888888888888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72-499A-AA48-2E0DFC5F423C}"/>
                </c:ext>
              </c:extLst>
            </c:dLbl>
            <c:dLbl>
              <c:idx val="8"/>
              <c:layout>
                <c:manualLayout>
                  <c:x val="-9.9541584806810746E-2"/>
                  <c:y val="-0.1157407407407407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72-499A-AA48-2E0DFC5F423C}"/>
                </c:ext>
              </c:extLst>
            </c:dLbl>
            <c:dLbl>
              <c:idx val="9"/>
              <c:layout>
                <c:manualLayout>
                  <c:x val="-8.6444007858546168E-2"/>
                  <c:y val="-7.4074074074074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F72-499A-AA48-2E0DFC5F423C}"/>
                </c:ext>
              </c:extLst>
            </c:dLbl>
            <c:dLbl>
              <c:idx val="10"/>
              <c:layout>
                <c:manualLayout>
                  <c:x val="-0.11263916175507531"/>
                  <c:y val="-4.166666666666666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72-499A-AA48-2E0DFC5F423C}"/>
                </c:ext>
              </c:extLst>
            </c:dLbl>
            <c:dLbl>
              <c:idx val="11"/>
              <c:layout>
                <c:manualLayout>
                  <c:x val="-0.15717092337917488"/>
                  <c:y val="-0.11111111111111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72-499A-AA48-2E0DFC5F42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Mensal'!$A$78:$A$89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Despesas Mensal'!$B$78:$B$89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2-499A-AA48-2E0DFC5F423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Dezembro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0B3-4E49-BCDC-23951CA0366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0B3-4E49-BCDC-23951CA0366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0B3-4E49-BCDC-23951CA0366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30B3-4E49-BCDC-23951CA0366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0B3-4E49-BCDC-23951CA03664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30B3-4E49-BCDC-23951CA03664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30B3-4E49-BCDC-23951CA03664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0B3-4E49-BCDC-23951CA03664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0B3-4E49-BCDC-23951CA03664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0B3-4E49-BCDC-23951CA03664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30B3-4E49-BCDC-23951CA03664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0B3-4E49-BCDC-23951CA03664}"/>
              </c:ext>
            </c:extLst>
          </c:dPt>
          <c:dLbls>
            <c:dLbl>
              <c:idx val="0"/>
              <c:layout>
                <c:manualLayout>
                  <c:x val="0.25833333333333325"/>
                  <c:y val="-6.018518518518519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B3-4E49-BCDC-23951CA03664}"/>
                </c:ext>
              </c:extLst>
            </c:dLbl>
            <c:dLbl>
              <c:idx val="1"/>
              <c:layout>
                <c:manualLayout>
                  <c:x val="0.15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B3-4E49-BCDC-23951CA03664}"/>
                </c:ext>
              </c:extLst>
            </c:dLbl>
            <c:dLbl>
              <c:idx val="2"/>
              <c:layout>
                <c:manualLayout>
                  <c:x val="0.13333333333333333"/>
                  <c:y val="-5.09259259259259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B3-4E49-BCDC-23951CA03664}"/>
                </c:ext>
              </c:extLst>
            </c:dLbl>
            <c:dLbl>
              <c:idx val="3"/>
              <c:layout>
                <c:manualLayout>
                  <c:x val="8.3333333333333329E-2"/>
                  <c:y val="-0.1018518518518518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B3-4E49-BCDC-23951CA03664}"/>
                </c:ext>
              </c:extLst>
            </c:dLbl>
            <c:dLbl>
              <c:idx val="4"/>
              <c:layout>
                <c:manualLayout>
                  <c:x val="0.11388888888888889"/>
                  <c:y val="-0.1481481481481480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0B3-4E49-BCDC-23951CA03664}"/>
                </c:ext>
              </c:extLst>
            </c:dLbl>
            <c:dLbl>
              <c:idx val="5"/>
              <c:layout>
                <c:manualLayout>
                  <c:x val="0.21944444444444433"/>
                  <c:y val="-5.09259259259259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B3-4E49-BCDC-23951CA03664}"/>
                </c:ext>
              </c:extLst>
            </c:dLbl>
            <c:dLbl>
              <c:idx val="6"/>
              <c:layout>
                <c:manualLayout>
                  <c:x val="-0.17777777777777781"/>
                  <c:y val="-5.09259259259259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B3-4E49-BCDC-23951CA03664}"/>
                </c:ext>
              </c:extLst>
            </c:dLbl>
            <c:dLbl>
              <c:idx val="7"/>
              <c:layout>
                <c:manualLayout>
                  <c:x val="-9.166666666666666E-2"/>
                  <c:y val="-0.1527777777777777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B3-4E49-BCDC-23951CA03664}"/>
                </c:ext>
              </c:extLst>
            </c:dLbl>
            <c:dLbl>
              <c:idx val="8"/>
              <c:layout>
                <c:manualLayout>
                  <c:x val="-7.4999999999999997E-2"/>
                  <c:y val="-0.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B3-4E49-BCDC-23951CA03664}"/>
                </c:ext>
              </c:extLst>
            </c:dLbl>
            <c:dLbl>
              <c:idx val="9"/>
              <c:layout>
                <c:manualLayout>
                  <c:x val="-7.2222222222222215E-2"/>
                  <c:y val="-6.94444444444444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0B3-4E49-BCDC-23951CA03664}"/>
                </c:ext>
              </c:extLst>
            </c:dLbl>
            <c:dLbl>
              <c:idx val="10"/>
              <c:layout>
                <c:manualLayout>
                  <c:x val="-0.11666666666666667"/>
                  <c:y val="-2.777777777777780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B3-4E49-BCDC-23951CA03664}"/>
                </c:ext>
              </c:extLst>
            </c:dLbl>
            <c:dLbl>
              <c:idx val="11"/>
              <c:layout>
                <c:manualLayout>
                  <c:x val="-0.19166666666666668"/>
                  <c:y val="-9.722222222222222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B3-4E49-BCDC-23951CA03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Mensal'!$K$78:$K$89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Despesas Mensal'!$L$78:$L$89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3-4E49-BCDC-23951CA0366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412-4859-9B4E-7C3C5144395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412-4859-9B4E-7C3C5144395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412-4859-9B4E-7C3C5144395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412-4859-9B4E-7C3C5144395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412-4859-9B4E-7C3C51443953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412-4859-9B4E-7C3C51443953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B412-4859-9B4E-7C3C51443953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B412-4859-9B4E-7C3C51443953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412-4859-9B4E-7C3C51443953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B412-4859-9B4E-7C3C51443953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412-4859-9B4E-7C3C51443953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B412-4859-9B4E-7C3C5144395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Mensal'!$K$17:$K$28</c:f>
              <c:strCache>
                <c:ptCount val="12"/>
                <c:pt idx="0">
                  <c:v>Rancho</c:v>
                </c:pt>
                <c:pt idx="1">
                  <c:v>Agua</c:v>
                </c:pt>
                <c:pt idx="2">
                  <c:v>luz</c:v>
                </c:pt>
                <c:pt idx="3">
                  <c:v>telefone</c:v>
                </c:pt>
                <c:pt idx="4">
                  <c:v>vestuário</c:v>
                </c:pt>
                <c:pt idx="5">
                  <c:v>internet</c:v>
                </c:pt>
                <c:pt idx="6">
                  <c:v>habitação</c:v>
                </c:pt>
                <c:pt idx="7">
                  <c:v>cabelereiro</c:v>
                </c:pt>
                <c:pt idx="8">
                  <c:v>exames</c:v>
                </c:pt>
                <c:pt idx="9">
                  <c:v>farmácia</c:v>
                </c:pt>
                <c:pt idx="10">
                  <c:v>academia</c:v>
                </c:pt>
                <c:pt idx="11">
                  <c:v>gasolina</c:v>
                </c:pt>
              </c:strCache>
            </c:strRef>
          </c:cat>
          <c:val>
            <c:numRef>
              <c:f>'Gráfico Despesas Mensal'!$L$17:$L$28</c:f>
              <c:numCache>
                <c:formatCode>"R$"\ #,##0.00</c:formatCode>
                <c:ptCount val="12"/>
                <c:pt idx="0">
                  <c:v>243.52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89.9</c:v>
                </c:pt>
                <c:pt idx="6">
                  <c:v>1137</c:v>
                </c:pt>
                <c:pt idx="7">
                  <c:v>0</c:v>
                </c:pt>
                <c:pt idx="8">
                  <c:v>33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12-4859-9B4E-7C3C5144395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428625</xdr:colOff>
      <xdr:row>26</xdr:row>
      <xdr:rowOff>152400</xdr:rowOff>
    </xdr:from>
    <xdr:to>
      <xdr:col>12</xdr:col>
      <xdr:colOff>28576</xdr:colOff>
      <xdr:row>41</xdr:row>
      <xdr:rowOff>38100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31</xdr:row>
          <xdr:rowOff>0</xdr:rowOff>
        </xdr:from>
        <xdr:to>
          <xdr:col>0</xdr:col>
          <xdr:colOff>1000125</xdr:colOff>
          <xdr:row>32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33</xdr:row>
          <xdr:rowOff>104775</xdr:rowOff>
        </xdr:from>
        <xdr:to>
          <xdr:col>1</xdr:col>
          <xdr:colOff>85725</xdr:colOff>
          <xdr:row>35</xdr:row>
          <xdr:rowOff>28575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42862</xdr:rowOff>
    </xdr:from>
    <xdr:to>
      <xdr:col>12</xdr:col>
      <xdr:colOff>600075</xdr:colOff>
      <xdr:row>14</xdr:row>
      <xdr:rowOff>119062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19049</xdr:colOff>
      <xdr:row>15</xdr:row>
      <xdr:rowOff>147637</xdr:rowOff>
    </xdr:from>
    <xdr:to>
      <xdr:col>12</xdr:col>
      <xdr:colOff>600075</xdr:colOff>
      <xdr:row>30</xdr:row>
      <xdr:rowOff>33337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476250</xdr:colOff>
          <xdr:row>1</xdr:row>
          <xdr:rowOff>114300</xdr:rowOff>
        </xdr:from>
        <xdr:to>
          <xdr:col>15</xdr:col>
          <xdr:colOff>171450</xdr:colOff>
          <xdr:row>3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9</xdr:col>
      <xdr:colOff>600075</xdr:colOff>
      <xdr:row>14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0</xdr:row>
      <xdr:rowOff>9525</xdr:rowOff>
    </xdr:from>
    <xdr:to>
      <xdr:col>19</xdr:col>
      <xdr:colOff>314325</xdr:colOff>
      <xdr:row>14</xdr:row>
      <xdr:rowOff>85725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19050</xdr:colOff>
      <xdr:row>15</xdr:row>
      <xdr:rowOff>9525</xdr:rowOff>
    </xdr:from>
    <xdr:to>
      <xdr:col>9</xdr:col>
      <xdr:colOff>533400</xdr:colOff>
      <xdr:row>29</xdr:row>
      <xdr:rowOff>85725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28575</xdr:colOff>
      <xdr:row>29</xdr:row>
      <xdr:rowOff>171450</xdr:rowOff>
    </xdr:from>
    <xdr:to>
      <xdr:col>10</xdr:col>
      <xdr:colOff>9525</xdr:colOff>
      <xdr:row>44</xdr:row>
      <xdr:rowOff>57150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</xdr:colOff>
      <xdr:row>30</xdr:row>
      <xdr:rowOff>66675</xdr:rowOff>
    </xdr:from>
    <xdr:to>
      <xdr:col>19</xdr:col>
      <xdr:colOff>428625</xdr:colOff>
      <xdr:row>44</xdr:row>
      <xdr:rowOff>142875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28574</xdr:colOff>
      <xdr:row>45</xdr:row>
      <xdr:rowOff>9525</xdr:rowOff>
    </xdr:from>
    <xdr:to>
      <xdr:col>9</xdr:col>
      <xdr:colOff>590549</xdr:colOff>
      <xdr:row>59</xdr:row>
      <xdr:rowOff>85725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9525</xdr:colOff>
      <xdr:row>45</xdr:row>
      <xdr:rowOff>0</xdr:rowOff>
    </xdr:from>
    <xdr:to>
      <xdr:col>19</xdr:col>
      <xdr:colOff>314325</xdr:colOff>
      <xdr:row>59</xdr:row>
      <xdr:rowOff>76200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19049</xdr:colOff>
      <xdr:row>60</xdr:row>
      <xdr:rowOff>152400</xdr:rowOff>
    </xdr:from>
    <xdr:to>
      <xdr:col>10</xdr:col>
      <xdr:colOff>9524</xdr:colOff>
      <xdr:row>75</xdr:row>
      <xdr:rowOff>38100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19050</xdr:colOff>
      <xdr:row>60</xdr:row>
      <xdr:rowOff>152400</xdr:rowOff>
    </xdr:from>
    <xdr:to>
      <xdr:col>19</xdr:col>
      <xdr:colOff>323850</xdr:colOff>
      <xdr:row>75</xdr:row>
      <xdr:rowOff>38100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19049</xdr:colOff>
      <xdr:row>75</xdr:row>
      <xdr:rowOff>180975</xdr:rowOff>
    </xdr:from>
    <xdr:to>
      <xdr:col>9</xdr:col>
      <xdr:colOff>600074</xdr:colOff>
      <xdr:row>90</xdr:row>
      <xdr:rowOff>66675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75</xdr:row>
      <xdr:rowOff>161925</xdr:rowOff>
    </xdr:from>
    <xdr:to>
      <xdr:col>19</xdr:col>
      <xdr:colOff>304800</xdr:colOff>
      <xdr:row>90</xdr:row>
      <xdr:rowOff>47625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19049</xdr:colOff>
      <xdr:row>15</xdr:row>
      <xdr:rowOff>9525</xdr:rowOff>
    </xdr:from>
    <xdr:to>
      <xdr:col>19</xdr:col>
      <xdr:colOff>466724</xdr:colOff>
      <xdr:row>29</xdr:row>
      <xdr:rowOff>85725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27</xdr:row>
          <xdr:rowOff>114300</xdr:rowOff>
        </xdr:from>
        <xdr:to>
          <xdr:col>21</xdr:col>
          <xdr:colOff>590550</xdr:colOff>
          <xdr:row>29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1</xdr:row>
          <xdr:rowOff>85725</xdr:rowOff>
        </xdr:from>
        <xdr:to>
          <xdr:col>21</xdr:col>
          <xdr:colOff>381000</xdr:colOff>
          <xdr:row>3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O30"/>
  <sheetViews>
    <sheetView tabSelected="1" workbookViewId="0">
      <selection activeCell="F18" sqref="F18"/>
    </sheetView>
  </sheetViews>
  <sheetFormatPr defaultRowHeight="15" x14ac:dyDescent="0.25"/>
  <cols>
    <col min="1" max="1" width="19" style="2" bestFit="1" customWidth="1"/>
    <col min="2" max="7" width="14.42578125" bestFit="1" customWidth="1"/>
    <col min="8" max="8" width="22.85546875" bestFit="1" customWidth="1"/>
    <col min="9" max="13" width="14.42578125" bestFit="1" customWidth="1"/>
    <col min="14" max="14" width="10.7109375" bestFit="1" customWidth="1"/>
    <col min="15" max="16" width="9.7109375" customWidth="1"/>
  </cols>
  <sheetData>
    <row r="1" spans="1:15" x14ac:dyDescent="0.25">
      <c r="A1" s="14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5" x14ac:dyDescent="0.25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F2" s="11" t="s">
        <v>6</v>
      </c>
      <c r="G2" s="11" t="s">
        <v>7</v>
      </c>
      <c r="H2" s="11" t="s">
        <v>8</v>
      </c>
      <c r="I2" s="11" t="s">
        <v>9</v>
      </c>
      <c r="J2" s="11" t="s">
        <v>10</v>
      </c>
      <c r="K2" s="11" t="s">
        <v>11</v>
      </c>
      <c r="L2" s="11" t="s">
        <v>12</v>
      </c>
      <c r="M2" s="11" t="s">
        <v>13</v>
      </c>
      <c r="N2" s="11"/>
      <c r="O2" s="1"/>
    </row>
    <row r="3" spans="1:15" x14ac:dyDescent="0.25">
      <c r="A3" s="11" t="s">
        <v>14</v>
      </c>
      <c r="B3" s="6">
        <f t="shared" ref="B3:M3" si="0">SUM(B4:B8)</f>
        <v>0</v>
      </c>
      <c r="C3" s="6">
        <f t="shared" si="0"/>
        <v>0</v>
      </c>
      <c r="D3" s="6">
        <f t="shared" si="0"/>
        <v>0</v>
      </c>
      <c r="E3" s="6">
        <f t="shared" si="0"/>
        <v>1818</v>
      </c>
      <c r="F3" s="6">
        <f t="shared" si="0"/>
        <v>0</v>
      </c>
      <c r="G3" s="6">
        <f t="shared" si="0"/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ref="N3:N8" si="1">SUM(B3:M3)</f>
        <v>1818</v>
      </c>
      <c r="O3" s="1"/>
    </row>
    <row r="4" spans="1:15" x14ac:dyDescent="0.25">
      <c r="A4" s="11" t="s">
        <v>15</v>
      </c>
      <c r="B4" s="6">
        <v>0</v>
      </c>
      <c r="C4" s="6">
        <v>0</v>
      </c>
      <c r="D4" s="6">
        <v>0</v>
      </c>
      <c r="E4" s="6">
        <v>1818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f t="shared" si="1"/>
        <v>1818</v>
      </c>
      <c r="O4" s="1"/>
    </row>
    <row r="5" spans="1:15" x14ac:dyDescent="0.25">
      <c r="A5" s="11" t="s">
        <v>16</v>
      </c>
      <c r="B5" s="6"/>
      <c r="C5" s="6">
        <v>0</v>
      </c>
      <c r="D5" s="6"/>
      <c r="E5" s="6"/>
      <c r="F5" s="6"/>
      <c r="G5" s="6"/>
      <c r="H5" s="6">
        <v>0</v>
      </c>
      <c r="I5" s="6"/>
      <c r="J5" s="6"/>
      <c r="K5" s="6"/>
      <c r="L5" s="6"/>
      <c r="M5" s="6"/>
      <c r="N5" s="6">
        <f t="shared" si="1"/>
        <v>0</v>
      </c>
      <c r="O5" s="1"/>
    </row>
    <row r="6" spans="1:15" x14ac:dyDescent="0.25">
      <c r="A6" s="11" t="s">
        <v>17</v>
      </c>
      <c r="B6" s="6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f t="shared" si="1"/>
        <v>0</v>
      </c>
      <c r="O6" s="1"/>
    </row>
    <row r="7" spans="1:15" x14ac:dyDescent="0.25">
      <c r="A7" s="11" t="s">
        <v>18</v>
      </c>
      <c r="B7" s="6"/>
      <c r="C7" s="6">
        <v>0</v>
      </c>
      <c r="D7" s="6"/>
      <c r="E7" s="6"/>
      <c r="F7" s="6"/>
      <c r="G7" s="6"/>
      <c r="H7" s="6"/>
      <c r="I7" s="6"/>
      <c r="J7" s="6"/>
      <c r="K7" s="6"/>
      <c r="L7" s="6"/>
      <c r="M7" s="6"/>
      <c r="N7" s="6">
        <f t="shared" si="1"/>
        <v>0</v>
      </c>
      <c r="O7" s="1"/>
    </row>
    <row r="8" spans="1:15" x14ac:dyDescent="0.25">
      <c r="A8" s="11" t="s">
        <v>19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>
        <v>0</v>
      </c>
      <c r="N8" s="6">
        <f t="shared" si="1"/>
        <v>0</v>
      </c>
      <c r="O8" s="1"/>
    </row>
    <row r="9" spans="1:15" x14ac:dyDescent="0.25">
      <c r="A9" s="11" t="s">
        <v>1</v>
      </c>
      <c r="B9" s="11" t="s">
        <v>2</v>
      </c>
      <c r="C9" s="11" t="s">
        <v>3</v>
      </c>
      <c r="D9" s="11" t="s">
        <v>4</v>
      </c>
      <c r="E9" s="11" t="s">
        <v>5</v>
      </c>
      <c r="F9" s="11" t="s">
        <v>6</v>
      </c>
      <c r="G9" s="11" t="s">
        <v>7</v>
      </c>
      <c r="H9" s="11" t="s">
        <v>8</v>
      </c>
      <c r="I9" s="11" t="s">
        <v>9</v>
      </c>
      <c r="J9" s="11" t="s">
        <v>10</v>
      </c>
      <c r="K9" s="11" t="s">
        <v>11</v>
      </c>
      <c r="L9" s="11" t="s">
        <v>12</v>
      </c>
      <c r="M9" s="11" t="s">
        <v>13</v>
      </c>
      <c r="N9" s="11"/>
      <c r="O9" s="1"/>
    </row>
    <row r="10" spans="1:15" x14ac:dyDescent="0.25">
      <c r="A10" s="11" t="s">
        <v>30</v>
      </c>
      <c r="B10" s="6">
        <f t="shared" ref="B10:M10" si="2">SUM(B11:B22)</f>
        <v>0</v>
      </c>
      <c r="C10" s="6">
        <f t="shared" si="2"/>
        <v>0</v>
      </c>
      <c r="D10" s="6">
        <f t="shared" si="2"/>
        <v>0</v>
      </c>
      <c r="E10" s="6">
        <f t="shared" si="2"/>
        <v>1503.42</v>
      </c>
      <c r="F10" s="6">
        <f t="shared" si="2"/>
        <v>0</v>
      </c>
      <c r="G10" s="6">
        <f t="shared" si="2"/>
        <v>0</v>
      </c>
      <c r="H10" s="6">
        <f t="shared" si="2"/>
        <v>0</v>
      </c>
      <c r="I10" s="6">
        <f t="shared" si="2"/>
        <v>0</v>
      </c>
      <c r="J10" s="6">
        <f t="shared" si="2"/>
        <v>0</v>
      </c>
      <c r="K10" s="6">
        <f t="shared" si="2"/>
        <v>0</v>
      </c>
      <c r="L10" s="6">
        <f t="shared" si="2"/>
        <v>0</v>
      </c>
      <c r="M10" s="6">
        <f t="shared" si="2"/>
        <v>0</v>
      </c>
      <c r="N10" s="6">
        <f t="shared" ref="N10:N22" si="3">SUM(B10:M10)</f>
        <v>1503.42</v>
      </c>
      <c r="O10" s="1"/>
    </row>
    <row r="11" spans="1:15" x14ac:dyDescent="0.25">
      <c r="A11" s="11" t="s">
        <v>20</v>
      </c>
      <c r="B11" s="6">
        <v>0</v>
      </c>
      <c r="C11" s="6">
        <v>0</v>
      </c>
      <c r="D11" s="6">
        <v>0</v>
      </c>
      <c r="E11" s="6">
        <v>243.52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f>SUM(B11:M11)</f>
        <v>243.52</v>
      </c>
      <c r="O11" s="1"/>
    </row>
    <row r="12" spans="1:15" x14ac:dyDescent="0.25">
      <c r="A12" s="11" t="s">
        <v>21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f t="shared" si="3"/>
        <v>0</v>
      </c>
      <c r="O12" s="1"/>
    </row>
    <row r="13" spans="1:15" x14ac:dyDescent="0.25">
      <c r="A13" s="11" t="s">
        <v>22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f t="shared" si="3"/>
        <v>0</v>
      </c>
      <c r="O13" s="1"/>
    </row>
    <row r="14" spans="1:15" x14ac:dyDescent="0.25">
      <c r="A14" s="11" t="s">
        <v>23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f t="shared" si="3"/>
        <v>0</v>
      </c>
      <c r="O14" s="1"/>
    </row>
    <row r="15" spans="1:15" x14ac:dyDescent="0.25">
      <c r="A15" s="11" t="s">
        <v>24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f t="shared" si="3"/>
        <v>0</v>
      </c>
      <c r="O15" s="1"/>
    </row>
    <row r="16" spans="1:15" x14ac:dyDescent="0.25">
      <c r="A16" s="11" t="s">
        <v>25</v>
      </c>
      <c r="B16" s="6">
        <v>0</v>
      </c>
      <c r="C16" s="6">
        <v>0</v>
      </c>
      <c r="D16" s="6">
        <v>0</v>
      </c>
      <c r="E16" s="6">
        <v>89.9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f t="shared" si="3"/>
        <v>89.9</v>
      </c>
      <c r="O16" s="1"/>
    </row>
    <row r="17" spans="1:15" x14ac:dyDescent="0.25">
      <c r="A17" s="11" t="s">
        <v>26</v>
      </c>
      <c r="B17" s="6">
        <v>0</v>
      </c>
      <c r="C17" s="6">
        <v>0</v>
      </c>
      <c r="D17" s="6">
        <v>0</v>
      </c>
      <c r="E17" s="6">
        <v>1137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f t="shared" si="3"/>
        <v>1137</v>
      </c>
      <c r="O17" s="1"/>
    </row>
    <row r="18" spans="1:15" x14ac:dyDescent="0.25">
      <c r="A18" s="11" t="s">
        <v>27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f t="shared" si="3"/>
        <v>0</v>
      </c>
      <c r="O18" s="1"/>
    </row>
    <row r="19" spans="1:15" x14ac:dyDescent="0.25">
      <c r="A19" s="11" t="s">
        <v>28</v>
      </c>
      <c r="B19" s="6">
        <v>0</v>
      </c>
      <c r="C19" s="6">
        <v>0</v>
      </c>
      <c r="D19" s="6">
        <v>0</v>
      </c>
      <c r="E19" s="6">
        <v>33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f t="shared" si="3"/>
        <v>33</v>
      </c>
      <c r="O19" s="1"/>
    </row>
    <row r="20" spans="1:15" x14ac:dyDescent="0.25">
      <c r="A20" s="11" t="s">
        <v>29</v>
      </c>
      <c r="B20" s="6">
        <v>0</v>
      </c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f t="shared" si="3"/>
        <v>0</v>
      </c>
      <c r="O20" s="1"/>
    </row>
    <row r="21" spans="1:15" x14ac:dyDescent="0.25">
      <c r="A21" s="11" t="s">
        <v>32</v>
      </c>
      <c r="B21" s="6">
        <v>0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f t="shared" si="3"/>
        <v>0</v>
      </c>
      <c r="O21" s="1"/>
    </row>
    <row r="22" spans="1:15" x14ac:dyDescent="0.25">
      <c r="A22" s="11" t="s">
        <v>33</v>
      </c>
      <c r="B22" s="6">
        <v>0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f t="shared" si="3"/>
        <v>0</v>
      </c>
      <c r="O22" s="1"/>
    </row>
    <row r="23" spans="1:15" x14ac:dyDescent="0.25">
      <c r="A23" s="11" t="s">
        <v>1</v>
      </c>
      <c r="B23" s="11" t="s">
        <v>2</v>
      </c>
      <c r="C23" s="11" t="s">
        <v>3</v>
      </c>
      <c r="D23" s="11" t="s">
        <v>4</v>
      </c>
      <c r="E23" s="11" t="s">
        <v>5</v>
      </c>
      <c r="F23" s="11" t="s">
        <v>6</v>
      </c>
      <c r="G23" s="11" t="s">
        <v>7</v>
      </c>
      <c r="H23" s="11" t="s">
        <v>8</v>
      </c>
      <c r="I23" s="11" t="s">
        <v>9</v>
      </c>
      <c r="J23" s="11" t="s">
        <v>10</v>
      </c>
      <c r="K23" s="11" t="s">
        <v>11</v>
      </c>
      <c r="L23" s="11" t="s">
        <v>12</v>
      </c>
      <c r="M23" s="11" t="s">
        <v>13</v>
      </c>
      <c r="N23" s="11"/>
      <c r="O23" s="1"/>
    </row>
    <row r="24" spans="1:15" x14ac:dyDescent="0.25">
      <c r="A24" s="11" t="s">
        <v>31</v>
      </c>
      <c r="B24" s="6">
        <f>B3-B10+B29</f>
        <v>-126.62</v>
      </c>
      <c r="C24" s="6">
        <f t="shared" ref="C24:M24" si="4">C3-C10</f>
        <v>0</v>
      </c>
      <c r="D24" s="6">
        <f t="shared" si="4"/>
        <v>0</v>
      </c>
      <c r="E24" s="6">
        <f t="shared" si="4"/>
        <v>314.57999999999993</v>
      </c>
      <c r="F24" s="6">
        <f t="shared" si="4"/>
        <v>0</v>
      </c>
      <c r="G24" s="6">
        <f t="shared" si="4"/>
        <v>0</v>
      </c>
      <c r="H24" s="6">
        <f t="shared" si="4"/>
        <v>0</v>
      </c>
      <c r="I24" s="6">
        <f t="shared" si="4"/>
        <v>0</v>
      </c>
      <c r="J24" s="6">
        <f t="shared" si="4"/>
        <v>0</v>
      </c>
      <c r="K24" s="6">
        <f t="shared" si="4"/>
        <v>0</v>
      </c>
      <c r="L24" s="6">
        <f t="shared" si="4"/>
        <v>0</v>
      </c>
      <c r="M24" s="6">
        <f t="shared" si="4"/>
        <v>0</v>
      </c>
      <c r="N24" s="6"/>
      <c r="O24" s="1"/>
    </row>
    <row r="25" spans="1:15" x14ac:dyDescent="0.25">
      <c r="A25" s="12" t="s">
        <v>34</v>
      </c>
      <c r="B25" s="8">
        <f>B24</f>
        <v>-126.62</v>
      </c>
      <c r="C25" s="8">
        <f t="shared" ref="C25:M25" si="5">B25+C24</f>
        <v>-126.62</v>
      </c>
      <c r="D25" s="8">
        <f t="shared" si="5"/>
        <v>-126.62</v>
      </c>
      <c r="E25" s="8">
        <f t="shared" si="5"/>
        <v>187.95999999999992</v>
      </c>
      <c r="F25" s="8">
        <f t="shared" si="5"/>
        <v>187.95999999999992</v>
      </c>
      <c r="G25" s="8">
        <f t="shared" si="5"/>
        <v>187.95999999999992</v>
      </c>
      <c r="H25" s="8">
        <f t="shared" si="5"/>
        <v>187.95999999999992</v>
      </c>
      <c r="I25" s="8">
        <f t="shared" si="5"/>
        <v>187.95999999999992</v>
      </c>
      <c r="J25" s="8">
        <f t="shared" si="5"/>
        <v>187.95999999999992</v>
      </c>
      <c r="K25" s="8">
        <f t="shared" si="5"/>
        <v>187.95999999999992</v>
      </c>
      <c r="L25" s="8">
        <f t="shared" si="5"/>
        <v>187.95999999999992</v>
      </c>
      <c r="M25" s="8">
        <f t="shared" si="5"/>
        <v>187.95999999999992</v>
      </c>
      <c r="N25" s="8"/>
      <c r="O25" s="1"/>
    </row>
    <row r="26" spans="1:15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1"/>
    </row>
    <row r="27" spans="1:15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1"/>
    </row>
    <row r="28" spans="1:15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x14ac:dyDescent="0.25">
      <c r="A29" s="7" t="s">
        <v>35</v>
      </c>
      <c r="B29" s="9">
        <v>-126.62</v>
      </c>
    </row>
    <row r="30" spans="1:15" x14ac:dyDescent="0.25">
      <c r="A30" s="13" t="s">
        <v>36</v>
      </c>
      <c r="B30" s="9">
        <f>M25</f>
        <v>187.95999999999992</v>
      </c>
    </row>
  </sheetData>
  <mergeCells count="1">
    <mergeCell ref="A1:N1"/>
  </mergeCells>
  <conditionalFormatting sqref="B24:N24">
    <cfRule type="cellIs" dxfId="3" priority="4" operator="lessThan">
      <formula>0</formula>
    </cfRule>
  </conditionalFormatting>
  <conditionalFormatting sqref="N10">
    <cfRule type="cellIs" dxfId="2" priority="3" operator="greaterThan">
      <formula>$N$3</formula>
    </cfRule>
  </conditionalFormatting>
  <conditionalFormatting sqref="B24:M24">
    <cfRule type="cellIs" dxfId="1" priority="2" operator="lessThan">
      <formula>0</formula>
    </cfRule>
  </conditionalFormatting>
  <conditionalFormatting sqref="B25:N25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autoLine="0" autoPict="0" r:id="rId5">
            <anchor moveWithCells="1">
              <from>
                <xdr:col>0</xdr:col>
                <xdr:colOff>114300</xdr:colOff>
                <xdr:row>33</xdr:row>
                <xdr:rowOff>104775</xdr:rowOff>
              </from>
              <to>
                <xdr:col>1</xdr:col>
                <xdr:colOff>85725</xdr:colOff>
                <xdr:row>35</xdr:row>
                <xdr:rowOff>28575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autoLine="0" r:id="rId7">
            <anchor moveWithCells="1">
              <from>
                <xdr:col>0</xdr:col>
                <xdr:colOff>85725</xdr:colOff>
                <xdr:row>31</xdr:row>
                <xdr:rowOff>0</xdr:rowOff>
              </from>
              <to>
                <xdr:col>0</xdr:col>
                <xdr:colOff>1000125</xdr:colOff>
                <xdr:row>32</xdr:row>
                <xdr:rowOff>114300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2:B28"/>
  <sheetViews>
    <sheetView workbookViewId="0">
      <selection activeCell="P10" sqref="P10"/>
    </sheetView>
  </sheetViews>
  <sheetFormatPr defaultRowHeight="15" x14ac:dyDescent="0.25"/>
  <cols>
    <col min="1" max="1" width="19" bestFit="1" customWidth="1"/>
    <col min="2" max="2" width="10.7109375" bestFit="1" customWidth="1"/>
  </cols>
  <sheetData>
    <row r="2" spans="1:2" x14ac:dyDescent="0.25">
      <c r="A2" s="4" t="s">
        <v>15</v>
      </c>
      <c r="B2" s="5">
        <f>Orçamento!N4</f>
        <v>1818</v>
      </c>
    </row>
    <row r="3" spans="1:2" x14ac:dyDescent="0.25">
      <c r="A3" s="4" t="s">
        <v>16</v>
      </c>
      <c r="B3" s="5">
        <f>Orçamento!N5</f>
        <v>0</v>
      </c>
    </row>
    <row r="4" spans="1:2" x14ac:dyDescent="0.25">
      <c r="A4" s="4" t="s">
        <v>17</v>
      </c>
      <c r="B4" s="5">
        <f>Orçamento!N6</f>
        <v>0</v>
      </c>
    </row>
    <row r="5" spans="1:2" x14ac:dyDescent="0.25">
      <c r="A5" s="4" t="s">
        <v>18</v>
      </c>
      <c r="B5" s="5">
        <f>Orçamento!N7</f>
        <v>0</v>
      </c>
    </row>
    <row r="6" spans="1:2" x14ac:dyDescent="0.25">
      <c r="A6" s="4" t="s">
        <v>19</v>
      </c>
      <c r="B6" s="5">
        <f>Orçamento!N8</f>
        <v>0</v>
      </c>
    </row>
    <row r="17" spans="1:2" x14ac:dyDescent="0.25">
      <c r="A17" s="4" t="s">
        <v>20</v>
      </c>
      <c r="B17" s="5">
        <f>Orçamento!N11</f>
        <v>243.52</v>
      </c>
    </row>
    <row r="18" spans="1:2" x14ac:dyDescent="0.25">
      <c r="A18" s="4" t="s">
        <v>21</v>
      </c>
      <c r="B18" s="5">
        <f>Orçamento!N12</f>
        <v>0</v>
      </c>
    </row>
    <row r="19" spans="1:2" x14ac:dyDescent="0.25">
      <c r="A19" s="4" t="s">
        <v>22</v>
      </c>
      <c r="B19" s="5">
        <f>Orçamento!N13</f>
        <v>0</v>
      </c>
    </row>
    <row r="20" spans="1:2" x14ac:dyDescent="0.25">
      <c r="A20" s="4" t="s">
        <v>23</v>
      </c>
      <c r="B20" s="5">
        <f>Orçamento!N14</f>
        <v>0</v>
      </c>
    </row>
    <row r="21" spans="1:2" x14ac:dyDescent="0.25">
      <c r="A21" s="4" t="s">
        <v>24</v>
      </c>
      <c r="B21" s="5">
        <f>Orçamento!N15</f>
        <v>0</v>
      </c>
    </row>
    <row r="22" spans="1:2" x14ac:dyDescent="0.25">
      <c r="A22" s="4" t="s">
        <v>25</v>
      </c>
      <c r="B22" s="5">
        <f>Orçamento!N16</f>
        <v>89.9</v>
      </c>
    </row>
    <row r="23" spans="1:2" x14ac:dyDescent="0.25">
      <c r="A23" s="4" t="s">
        <v>26</v>
      </c>
      <c r="B23" s="5">
        <f>Orçamento!N17</f>
        <v>1137</v>
      </c>
    </row>
    <row r="24" spans="1:2" x14ac:dyDescent="0.25">
      <c r="A24" s="4" t="s">
        <v>27</v>
      </c>
      <c r="B24" s="5">
        <f>Orçamento!N18</f>
        <v>0</v>
      </c>
    </row>
    <row r="25" spans="1:2" x14ac:dyDescent="0.25">
      <c r="A25" s="4" t="s">
        <v>28</v>
      </c>
      <c r="B25" s="5">
        <f>Orçamento!N19</f>
        <v>33</v>
      </c>
    </row>
    <row r="26" spans="1:2" x14ac:dyDescent="0.25">
      <c r="A26" s="4" t="s">
        <v>29</v>
      </c>
      <c r="B26" s="5">
        <f>Orçamento!N20</f>
        <v>0</v>
      </c>
    </row>
    <row r="27" spans="1:2" x14ac:dyDescent="0.25">
      <c r="A27" s="4" t="s">
        <v>32</v>
      </c>
      <c r="B27" s="5">
        <f>Orçamento!N21</f>
        <v>0</v>
      </c>
    </row>
    <row r="28" spans="1:2" x14ac:dyDescent="0.25">
      <c r="A28" s="4" t="s">
        <v>33</v>
      </c>
      <c r="B28" s="5">
        <f>Orçamento!N22</f>
        <v>0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autoLine="0" r:id="rId4">
            <anchor moveWithCells="1">
              <from>
                <xdr:col>13</xdr:col>
                <xdr:colOff>476250</xdr:colOff>
                <xdr:row>1</xdr:row>
                <xdr:rowOff>114300</xdr:rowOff>
              </from>
              <to>
                <xdr:col>15</xdr:col>
                <xdr:colOff>171450</xdr:colOff>
                <xdr:row>3</xdr:row>
                <xdr:rowOff>38100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>
    <tabColor theme="1"/>
  </sheetPr>
  <dimension ref="A1:L89"/>
  <sheetViews>
    <sheetView topLeftCell="C1" workbookViewId="0">
      <selection activeCell="U28" sqref="U28"/>
    </sheetView>
  </sheetViews>
  <sheetFormatPr defaultRowHeight="15" x14ac:dyDescent="0.25"/>
  <cols>
    <col min="1" max="1" width="11.140625" bestFit="1" customWidth="1"/>
    <col min="2" max="2" width="10.7109375" bestFit="1" customWidth="1"/>
    <col min="11" max="11" width="11.140625" bestFit="1" customWidth="1"/>
    <col min="12" max="12" width="9.140625" bestFit="1" customWidth="1"/>
  </cols>
  <sheetData>
    <row r="1" spans="1:12" x14ac:dyDescent="0.25">
      <c r="A1" s="4" t="s">
        <v>20</v>
      </c>
      <c r="B1" s="5">
        <f>Orçamento!B11</f>
        <v>0</v>
      </c>
      <c r="K1" s="4" t="s">
        <v>20</v>
      </c>
      <c r="L1" s="5">
        <f>Orçamento!C11</f>
        <v>0</v>
      </c>
    </row>
    <row r="2" spans="1:12" x14ac:dyDescent="0.25">
      <c r="A2" s="4" t="s">
        <v>21</v>
      </c>
      <c r="B2" s="5">
        <f>Orçamento!B12</f>
        <v>0</v>
      </c>
      <c r="K2" s="4" t="s">
        <v>21</v>
      </c>
      <c r="L2" s="5">
        <f>Orçamento!C12</f>
        <v>0</v>
      </c>
    </row>
    <row r="3" spans="1:12" x14ac:dyDescent="0.25">
      <c r="A3" s="4" t="s">
        <v>22</v>
      </c>
      <c r="B3" s="5">
        <f>Orçamento!B13</f>
        <v>0</v>
      </c>
      <c r="K3" s="4" t="s">
        <v>22</v>
      </c>
      <c r="L3" s="5">
        <f>Orçamento!C13</f>
        <v>0</v>
      </c>
    </row>
    <row r="4" spans="1:12" x14ac:dyDescent="0.25">
      <c r="A4" s="4" t="s">
        <v>23</v>
      </c>
      <c r="B4" s="5">
        <f>Orçamento!B14</f>
        <v>0</v>
      </c>
      <c r="K4" s="4" t="s">
        <v>23</v>
      </c>
      <c r="L4" s="5">
        <f>Orçamento!C14</f>
        <v>0</v>
      </c>
    </row>
    <row r="5" spans="1:12" x14ac:dyDescent="0.25">
      <c r="A5" s="4" t="s">
        <v>24</v>
      </c>
      <c r="B5" s="5">
        <f>Orçamento!B15</f>
        <v>0</v>
      </c>
      <c r="K5" s="4" t="s">
        <v>24</v>
      </c>
      <c r="L5" s="5">
        <f>Orçamento!C15</f>
        <v>0</v>
      </c>
    </row>
    <row r="6" spans="1:12" x14ac:dyDescent="0.25">
      <c r="A6" s="4" t="s">
        <v>25</v>
      </c>
      <c r="B6" s="5">
        <f>Orçamento!B16</f>
        <v>0</v>
      </c>
      <c r="K6" s="4" t="s">
        <v>25</v>
      </c>
      <c r="L6" s="5">
        <f>Orçamento!C16</f>
        <v>0</v>
      </c>
    </row>
    <row r="7" spans="1:12" x14ac:dyDescent="0.25">
      <c r="A7" s="4" t="s">
        <v>26</v>
      </c>
      <c r="B7" s="5">
        <f>Orçamento!B17</f>
        <v>0</v>
      </c>
      <c r="K7" s="4" t="s">
        <v>26</v>
      </c>
      <c r="L7" s="5">
        <f>Orçamento!C17</f>
        <v>0</v>
      </c>
    </row>
    <row r="8" spans="1:12" x14ac:dyDescent="0.25">
      <c r="A8" s="4" t="s">
        <v>27</v>
      </c>
      <c r="B8" s="5">
        <f>Orçamento!B18</f>
        <v>0</v>
      </c>
      <c r="K8" s="4" t="s">
        <v>27</v>
      </c>
      <c r="L8" s="5">
        <f>Orçamento!C18</f>
        <v>0</v>
      </c>
    </row>
    <row r="9" spans="1:12" x14ac:dyDescent="0.25">
      <c r="A9" s="4" t="s">
        <v>28</v>
      </c>
      <c r="B9" s="5">
        <f>Orçamento!B19</f>
        <v>0</v>
      </c>
      <c r="K9" s="4" t="s">
        <v>28</v>
      </c>
      <c r="L9" s="5">
        <f>Orçamento!C19</f>
        <v>0</v>
      </c>
    </row>
    <row r="10" spans="1:12" x14ac:dyDescent="0.25">
      <c r="A10" s="4" t="s">
        <v>29</v>
      </c>
      <c r="B10" s="5">
        <f>Orçamento!B20</f>
        <v>0</v>
      </c>
      <c r="K10" s="4" t="s">
        <v>29</v>
      </c>
      <c r="L10" s="5">
        <f>Orçamento!C20</f>
        <v>0</v>
      </c>
    </row>
    <row r="11" spans="1:12" x14ac:dyDescent="0.25">
      <c r="A11" s="4" t="s">
        <v>32</v>
      </c>
      <c r="B11" s="5">
        <f>Orçamento!B21</f>
        <v>0</v>
      </c>
      <c r="K11" s="4" t="s">
        <v>32</v>
      </c>
      <c r="L11" s="5">
        <f>Orçamento!C21</f>
        <v>0</v>
      </c>
    </row>
    <row r="12" spans="1:12" x14ac:dyDescent="0.25">
      <c r="A12" s="4" t="s">
        <v>33</v>
      </c>
      <c r="B12" s="5">
        <f>Orçamento!B22</f>
        <v>0</v>
      </c>
      <c r="K12" s="4" t="s">
        <v>33</v>
      </c>
      <c r="L12" s="5">
        <f>Orçamento!C22</f>
        <v>0</v>
      </c>
    </row>
    <row r="17" spans="1:12" x14ac:dyDescent="0.25">
      <c r="A17" s="4" t="s">
        <v>20</v>
      </c>
      <c r="B17" s="5">
        <f>Orçamento!D11</f>
        <v>0</v>
      </c>
      <c r="K17" s="4" t="s">
        <v>20</v>
      </c>
      <c r="L17" s="10">
        <f>Orçamento!E11</f>
        <v>243.52</v>
      </c>
    </row>
    <row r="18" spans="1:12" x14ac:dyDescent="0.25">
      <c r="A18" s="4" t="s">
        <v>21</v>
      </c>
      <c r="B18" s="5">
        <f>Orçamento!D12</f>
        <v>0</v>
      </c>
      <c r="K18" s="4" t="s">
        <v>21</v>
      </c>
      <c r="L18" s="10">
        <f>Orçamento!E12</f>
        <v>0</v>
      </c>
    </row>
    <row r="19" spans="1:12" x14ac:dyDescent="0.25">
      <c r="A19" s="4" t="s">
        <v>22</v>
      </c>
      <c r="B19" s="5">
        <f>Orçamento!D13</f>
        <v>0</v>
      </c>
      <c r="K19" s="4" t="s">
        <v>22</v>
      </c>
      <c r="L19" s="10">
        <f>Orçamento!E13</f>
        <v>0</v>
      </c>
    </row>
    <row r="20" spans="1:12" x14ac:dyDescent="0.25">
      <c r="A20" s="4" t="s">
        <v>23</v>
      </c>
      <c r="B20" s="5">
        <f>Orçamento!D14</f>
        <v>0</v>
      </c>
      <c r="K20" s="4" t="s">
        <v>23</v>
      </c>
      <c r="L20" s="10">
        <f>Orçamento!E14</f>
        <v>0</v>
      </c>
    </row>
    <row r="21" spans="1:12" x14ac:dyDescent="0.25">
      <c r="A21" s="4" t="s">
        <v>24</v>
      </c>
      <c r="B21" s="5">
        <f>Orçamento!D15</f>
        <v>0</v>
      </c>
      <c r="K21" s="4" t="s">
        <v>24</v>
      </c>
      <c r="L21" s="10">
        <f>Orçamento!E15</f>
        <v>0</v>
      </c>
    </row>
    <row r="22" spans="1:12" x14ac:dyDescent="0.25">
      <c r="A22" s="4" t="s">
        <v>25</v>
      </c>
      <c r="B22" s="5">
        <f>Orçamento!D16</f>
        <v>0</v>
      </c>
      <c r="K22" s="4" t="s">
        <v>25</v>
      </c>
      <c r="L22" s="10">
        <f>Orçamento!E16</f>
        <v>89.9</v>
      </c>
    </row>
    <row r="23" spans="1:12" x14ac:dyDescent="0.25">
      <c r="A23" s="4" t="s">
        <v>26</v>
      </c>
      <c r="B23" s="5">
        <f>Orçamento!D17</f>
        <v>0</v>
      </c>
      <c r="K23" s="4" t="s">
        <v>26</v>
      </c>
      <c r="L23" s="10">
        <f>Orçamento!E17</f>
        <v>1137</v>
      </c>
    </row>
    <row r="24" spans="1:12" x14ac:dyDescent="0.25">
      <c r="A24" s="4" t="s">
        <v>27</v>
      </c>
      <c r="B24" s="5">
        <f>Orçamento!D18</f>
        <v>0</v>
      </c>
      <c r="K24" s="4" t="s">
        <v>27</v>
      </c>
      <c r="L24" s="10">
        <f>Orçamento!E18</f>
        <v>0</v>
      </c>
    </row>
    <row r="25" spans="1:12" x14ac:dyDescent="0.25">
      <c r="A25" s="4" t="s">
        <v>28</v>
      </c>
      <c r="B25" s="5">
        <f>Orçamento!D19</f>
        <v>0</v>
      </c>
      <c r="K25" s="4" t="s">
        <v>28</v>
      </c>
      <c r="L25" s="10">
        <f>Orçamento!E19</f>
        <v>33</v>
      </c>
    </row>
    <row r="26" spans="1:12" x14ac:dyDescent="0.25">
      <c r="A26" s="4" t="s">
        <v>29</v>
      </c>
      <c r="B26" s="5">
        <f>Orçamento!D20</f>
        <v>0</v>
      </c>
      <c r="K26" s="4" t="s">
        <v>29</v>
      </c>
      <c r="L26" s="10">
        <f>Orçamento!E20</f>
        <v>0</v>
      </c>
    </row>
    <row r="27" spans="1:12" x14ac:dyDescent="0.25">
      <c r="A27" s="4" t="s">
        <v>32</v>
      </c>
      <c r="B27" s="5">
        <f>Orçamento!D21</f>
        <v>0</v>
      </c>
      <c r="K27" s="4" t="s">
        <v>32</v>
      </c>
      <c r="L27" s="10">
        <f>Orçamento!E21</f>
        <v>0</v>
      </c>
    </row>
    <row r="28" spans="1:12" x14ac:dyDescent="0.25">
      <c r="A28" s="4" t="s">
        <v>33</v>
      </c>
      <c r="B28" s="5">
        <f>Orçamento!D22</f>
        <v>0</v>
      </c>
      <c r="K28" s="4" t="s">
        <v>33</v>
      </c>
      <c r="L28" s="10">
        <f>Orçamento!E22</f>
        <v>0</v>
      </c>
    </row>
    <row r="32" spans="1:12" x14ac:dyDescent="0.25">
      <c r="A32" s="4" t="s">
        <v>20</v>
      </c>
      <c r="B32" s="5">
        <f>Orçamento!F11</f>
        <v>0</v>
      </c>
      <c r="K32" s="4" t="s">
        <v>20</v>
      </c>
      <c r="L32" s="5">
        <f>Orçamento!G11</f>
        <v>0</v>
      </c>
    </row>
    <row r="33" spans="1:12" x14ac:dyDescent="0.25">
      <c r="A33" s="4" t="s">
        <v>21</v>
      </c>
      <c r="B33" s="5">
        <f>Orçamento!F12</f>
        <v>0</v>
      </c>
      <c r="K33" s="4" t="s">
        <v>21</v>
      </c>
      <c r="L33" s="5">
        <f>Orçamento!G12</f>
        <v>0</v>
      </c>
    </row>
    <row r="34" spans="1:12" x14ac:dyDescent="0.25">
      <c r="A34" s="4" t="s">
        <v>22</v>
      </c>
      <c r="B34" s="5">
        <f>Orçamento!F13</f>
        <v>0</v>
      </c>
      <c r="K34" s="4" t="s">
        <v>22</v>
      </c>
      <c r="L34" s="5">
        <f>Orçamento!G13</f>
        <v>0</v>
      </c>
    </row>
    <row r="35" spans="1:12" x14ac:dyDescent="0.25">
      <c r="A35" s="4" t="s">
        <v>23</v>
      </c>
      <c r="B35" s="5">
        <f>Orçamento!F14</f>
        <v>0</v>
      </c>
      <c r="K35" s="4" t="s">
        <v>23</v>
      </c>
      <c r="L35" s="5">
        <f>Orçamento!G14</f>
        <v>0</v>
      </c>
    </row>
    <row r="36" spans="1:12" x14ac:dyDescent="0.25">
      <c r="A36" s="4" t="s">
        <v>24</v>
      </c>
      <c r="B36" s="5">
        <f>Orçamento!F15</f>
        <v>0</v>
      </c>
      <c r="K36" s="4" t="s">
        <v>24</v>
      </c>
      <c r="L36" s="5">
        <f>Orçamento!G15</f>
        <v>0</v>
      </c>
    </row>
    <row r="37" spans="1:12" x14ac:dyDescent="0.25">
      <c r="A37" s="4" t="s">
        <v>25</v>
      </c>
      <c r="B37" s="5">
        <f>Orçamento!F16</f>
        <v>0</v>
      </c>
      <c r="K37" s="4" t="s">
        <v>25</v>
      </c>
      <c r="L37" s="5">
        <f>Orçamento!G16</f>
        <v>0</v>
      </c>
    </row>
    <row r="38" spans="1:12" x14ac:dyDescent="0.25">
      <c r="A38" s="4" t="s">
        <v>26</v>
      </c>
      <c r="B38" s="5">
        <f>Orçamento!F17</f>
        <v>0</v>
      </c>
      <c r="K38" s="4" t="s">
        <v>26</v>
      </c>
      <c r="L38" s="5">
        <f>Orçamento!G17</f>
        <v>0</v>
      </c>
    </row>
    <row r="39" spans="1:12" x14ac:dyDescent="0.25">
      <c r="A39" s="4" t="s">
        <v>27</v>
      </c>
      <c r="B39" s="5">
        <f>Orçamento!F18</f>
        <v>0</v>
      </c>
      <c r="K39" s="4" t="s">
        <v>27</v>
      </c>
      <c r="L39" s="5">
        <f>Orçamento!G18</f>
        <v>0</v>
      </c>
    </row>
    <row r="40" spans="1:12" x14ac:dyDescent="0.25">
      <c r="A40" s="4" t="s">
        <v>28</v>
      </c>
      <c r="B40" s="5">
        <f>Orçamento!F19</f>
        <v>0</v>
      </c>
      <c r="K40" s="4" t="s">
        <v>28</v>
      </c>
      <c r="L40" s="5">
        <f>Orçamento!G19</f>
        <v>0</v>
      </c>
    </row>
    <row r="41" spans="1:12" x14ac:dyDescent="0.25">
      <c r="A41" s="4" t="s">
        <v>29</v>
      </c>
      <c r="B41" s="5">
        <f>Orçamento!F20</f>
        <v>0</v>
      </c>
      <c r="K41" s="4" t="s">
        <v>29</v>
      </c>
      <c r="L41" s="5">
        <f>Orçamento!G20</f>
        <v>0</v>
      </c>
    </row>
    <row r="42" spans="1:12" x14ac:dyDescent="0.25">
      <c r="A42" s="4" t="s">
        <v>32</v>
      </c>
      <c r="B42" s="5">
        <f>Orçamento!F21</f>
        <v>0</v>
      </c>
      <c r="K42" s="4" t="s">
        <v>32</v>
      </c>
      <c r="L42" s="5">
        <f>Orçamento!G21</f>
        <v>0</v>
      </c>
    </row>
    <row r="43" spans="1:12" x14ac:dyDescent="0.25">
      <c r="A43" s="4" t="s">
        <v>33</v>
      </c>
      <c r="B43" s="5">
        <f>Orçamento!F22</f>
        <v>0</v>
      </c>
      <c r="K43" s="4" t="s">
        <v>33</v>
      </c>
      <c r="L43" s="5">
        <f>Orçamento!G22</f>
        <v>0</v>
      </c>
    </row>
    <row r="47" spans="1:12" x14ac:dyDescent="0.25">
      <c r="A47" s="4" t="s">
        <v>20</v>
      </c>
      <c r="B47" s="5">
        <f>Orçamento!H11</f>
        <v>0</v>
      </c>
      <c r="K47" s="4" t="s">
        <v>20</v>
      </c>
      <c r="L47" s="5">
        <f>Orçamento!I11</f>
        <v>0</v>
      </c>
    </row>
    <row r="48" spans="1:12" x14ac:dyDescent="0.25">
      <c r="A48" s="4" t="s">
        <v>21</v>
      </c>
      <c r="B48" s="5">
        <f>Orçamento!H12</f>
        <v>0</v>
      </c>
      <c r="K48" s="4" t="s">
        <v>21</v>
      </c>
      <c r="L48" s="5">
        <f>Orçamento!I12</f>
        <v>0</v>
      </c>
    </row>
    <row r="49" spans="1:12" x14ac:dyDescent="0.25">
      <c r="A49" s="4" t="s">
        <v>22</v>
      </c>
      <c r="B49" s="5">
        <f>Orçamento!H13</f>
        <v>0</v>
      </c>
      <c r="K49" s="4" t="s">
        <v>22</v>
      </c>
      <c r="L49" s="5">
        <f>Orçamento!I13</f>
        <v>0</v>
      </c>
    </row>
    <row r="50" spans="1:12" x14ac:dyDescent="0.25">
      <c r="A50" s="4" t="s">
        <v>23</v>
      </c>
      <c r="B50" s="5">
        <f>Orçamento!H14</f>
        <v>0</v>
      </c>
      <c r="K50" s="4" t="s">
        <v>23</v>
      </c>
      <c r="L50" s="5">
        <f>Orçamento!I14</f>
        <v>0</v>
      </c>
    </row>
    <row r="51" spans="1:12" x14ac:dyDescent="0.25">
      <c r="A51" s="4" t="s">
        <v>24</v>
      </c>
      <c r="B51" s="5">
        <f>Orçamento!H15</f>
        <v>0</v>
      </c>
      <c r="K51" s="4" t="s">
        <v>24</v>
      </c>
      <c r="L51" s="5">
        <f>Orçamento!I15</f>
        <v>0</v>
      </c>
    </row>
    <row r="52" spans="1:12" x14ac:dyDescent="0.25">
      <c r="A52" s="4" t="s">
        <v>25</v>
      </c>
      <c r="B52" s="5">
        <f>Orçamento!H16</f>
        <v>0</v>
      </c>
      <c r="K52" s="4" t="s">
        <v>25</v>
      </c>
      <c r="L52" s="5">
        <f>Orçamento!I16</f>
        <v>0</v>
      </c>
    </row>
    <row r="53" spans="1:12" x14ac:dyDescent="0.25">
      <c r="A53" s="4" t="s">
        <v>26</v>
      </c>
      <c r="B53" s="5">
        <f>Orçamento!H17</f>
        <v>0</v>
      </c>
      <c r="K53" s="4" t="s">
        <v>26</v>
      </c>
      <c r="L53" s="5">
        <f>Orçamento!I17</f>
        <v>0</v>
      </c>
    </row>
    <row r="54" spans="1:12" x14ac:dyDescent="0.25">
      <c r="A54" s="4" t="s">
        <v>27</v>
      </c>
      <c r="B54" s="5">
        <f>Orçamento!H18</f>
        <v>0</v>
      </c>
      <c r="K54" s="4" t="s">
        <v>27</v>
      </c>
      <c r="L54" s="5">
        <f>Orçamento!I18</f>
        <v>0</v>
      </c>
    </row>
    <row r="55" spans="1:12" x14ac:dyDescent="0.25">
      <c r="A55" s="4" t="s">
        <v>28</v>
      </c>
      <c r="B55" s="5">
        <f>Orçamento!H19</f>
        <v>0</v>
      </c>
      <c r="K55" s="4" t="s">
        <v>28</v>
      </c>
      <c r="L55" s="5">
        <f>Orçamento!I19</f>
        <v>0</v>
      </c>
    </row>
    <row r="56" spans="1:12" x14ac:dyDescent="0.25">
      <c r="A56" s="4" t="s">
        <v>29</v>
      </c>
      <c r="B56" s="5">
        <f>Orçamento!H20</f>
        <v>0</v>
      </c>
      <c r="K56" s="4" t="s">
        <v>29</v>
      </c>
      <c r="L56" s="5">
        <f>Orçamento!I20</f>
        <v>0</v>
      </c>
    </row>
    <row r="57" spans="1:12" x14ac:dyDescent="0.25">
      <c r="A57" s="4" t="s">
        <v>32</v>
      </c>
      <c r="B57" s="5">
        <f>Orçamento!H21</f>
        <v>0</v>
      </c>
      <c r="K57" s="4" t="s">
        <v>32</v>
      </c>
      <c r="L57" s="5">
        <f>Orçamento!I21</f>
        <v>0</v>
      </c>
    </row>
    <row r="58" spans="1:12" x14ac:dyDescent="0.25">
      <c r="A58" s="4" t="s">
        <v>33</v>
      </c>
      <c r="B58" s="5">
        <f>Orçamento!H22</f>
        <v>0</v>
      </c>
      <c r="K58" s="4" t="s">
        <v>33</v>
      </c>
      <c r="L58" s="5">
        <f>Orçamento!I22</f>
        <v>0</v>
      </c>
    </row>
    <row r="62" spans="1:12" x14ac:dyDescent="0.25">
      <c r="A62" s="4" t="s">
        <v>20</v>
      </c>
      <c r="B62" s="5">
        <f>Orçamento!J11</f>
        <v>0</v>
      </c>
      <c r="K62" s="4" t="s">
        <v>20</v>
      </c>
      <c r="L62" s="5">
        <f>Orçamento!K11</f>
        <v>0</v>
      </c>
    </row>
    <row r="63" spans="1:12" x14ac:dyDescent="0.25">
      <c r="A63" s="4" t="s">
        <v>21</v>
      </c>
      <c r="B63" s="5">
        <f>Orçamento!J12</f>
        <v>0</v>
      </c>
      <c r="K63" s="4" t="s">
        <v>21</v>
      </c>
      <c r="L63" s="5">
        <f>Orçamento!K12</f>
        <v>0</v>
      </c>
    </row>
    <row r="64" spans="1:12" x14ac:dyDescent="0.25">
      <c r="A64" s="4" t="s">
        <v>22</v>
      </c>
      <c r="B64" s="5">
        <f>Orçamento!J13</f>
        <v>0</v>
      </c>
      <c r="K64" s="4" t="s">
        <v>22</v>
      </c>
      <c r="L64" s="5">
        <f>Orçamento!K13</f>
        <v>0</v>
      </c>
    </row>
    <row r="65" spans="1:12" x14ac:dyDescent="0.25">
      <c r="A65" s="4" t="s">
        <v>23</v>
      </c>
      <c r="B65" s="5">
        <f>Orçamento!J14</f>
        <v>0</v>
      </c>
      <c r="K65" s="4" t="s">
        <v>23</v>
      </c>
      <c r="L65" s="5">
        <f>Orçamento!K14</f>
        <v>0</v>
      </c>
    </row>
    <row r="66" spans="1:12" x14ac:dyDescent="0.25">
      <c r="A66" s="4" t="s">
        <v>24</v>
      </c>
      <c r="B66" s="5">
        <f>Orçamento!J15</f>
        <v>0</v>
      </c>
      <c r="K66" s="4" t="s">
        <v>24</v>
      </c>
      <c r="L66" s="5">
        <f>Orçamento!K15</f>
        <v>0</v>
      </c>
    </row>
    <row r="67" spans="1:12" x14ac:dyDescent="0.25">
      <c r="A67" s="4" t="s">
        <v>25</v>
      </c>
      <c r="B67" s="5">
        <f>Orçamento!J16</f>
        <v>0</v>
      </c>
      <c r="K67" s="4" t="s">
        <v>25</v>
      </c>
      <c r="L67" s="5">
        <f>Orçamento!K16</f>
        <v>0</v>
      </c>
    </row>
    <row r="68" spans="1:12" x14ac:dyDescent="0.25">
      <c r="A68" s="4" t="s">
        <v>26</v>
      </c>
      <c r="B68" s="5">
        <f>Orçamento!J17</f>
        <v>0</v>
      </c>
      <c r="K68" s="4" t="s">
        <v>26</v>
      </c>
      <c r="L68" s="5">
        <f>Orçamento!K17</f>
        <v>0</v>
      </c>
    </row>
    <row r="69" spans="1:12" x14ac:dyDescent="0.25">
      <c r="A69" s="4" t="s">
        <v>27</v>
      </c>
      <c r="B69" s="5">
        <f>Orçamento!J18</f>
        <v>0</v>
      </c>
      <c r="K69" s="4" t="s">
        <v>27</v>
      </c>
      <c r="L69" s="5">
        <f>Orçamento!K18</f>
        <v>0</v>
      </c>
    </row>
    <row r="70" spans="1:12" x14ac:dyDescent="0.25">
      <c r="A70" s="4" t="s">
        <v>28</v>
      </c>
      <c r="B70" s="5">
        <f>Orçamento!J19</f>
        <v>0</v>
      </c>
      <c r="K70" s="4" t="s">
        <v>28</v>
      </c>
      <c r="L70" s="5">
        <f>Orçamento!K19</f>
        <v>0</v>
      </c>
    </row>
    <row r="71" spans="1:12" x14ac:dyDescent="0.25">
      <c r="A71" s="4" t="s">
        <v>29</v>
      </c>
      <c r="B71" s="5">
        <f>Orçamento!J20</f>
        <v>0</v>
      </c>
      <c r="K71" s="4" t="s">
        <v>29</v>
      </c>
      <c r="L71" s="5">
        <f>Orçamento!K20</f>
        <v>0</v>
      </c>
    </row>
    <row r="72" spans="1:12" x14ac:dyDescent="0.25">
      <c r="A72" s="4" t="s">
        <v>32</v>
      </c>
      <c r="B72" s="5">
        <f>Orçamento!J21</f>
        <v>0</v>
      </c>
      <c r="K72" s="4" t="s">
        <v>32</v>
      </c>
      <c r="L72" s="5">
        <f>Orçamento!K21</f>
        <v>0</v>
      </c>
    </row>
    <row r="73" spans="1:12" x14ac:dyDescent="0.25">
      <c r="A73" s="4" t="s">
        <v>33</v>
      </c>
      <c r="B73" s="5">
        <f>Orçamento!J22</f>
        <v>0</v>
      </c>
      <c r="K73" s="4" t="s">
        <v>33</v>
      </c>
      <c r="L73" s="5">
        <f>Orçamento!K22</f>
        <v>0</v>
      </c>
    </row>
    <row r="78" spans="1:12" x14ac:dyDescent="0.25">
      <c r="A78" s="4" t="s">
        <v>20</v>
      </c>
      <c r="B78" s="5">
        <f>Orçamento!L11</f>
        <v>0</v>
      </c>
      <c r="K78" s="4" t="s">
        <v>20</v>
      </c>
      <c r="L78" s="5">
        <f>Orçamento!M11</f>
        <v>0</v>
      </c>
    </row>
    <row r="79" spans="1:12" x14ac:dyDescent="0.25">
      <c r="A79" s="4" t="s">
        <v>21</v>
      </c>
      <c r="B79" s="5">
        <f>Orçamento!L12</f>
        <v>0</v>
      </c>
      <c r="K79" s="4" t="s">
        <v>21</v>
      </c>
      <c r="L79" s="5">
        <f>Orçamento!M12</f>
        <v>0</v>
      </c>
    </row>
    <row r="80" spans="1:12" x14ac:dyDescent="0.25">
      <c r="A80" s="4" t="s">
        <v>22</v>
      </c>
      <c r="B80" s="5">
        <f>Orçamento!L13</f>
        <v>0</v>
      </c>
      <c r="K80" s="4" t="s">
        <v>22</v>
      </c>
      <c r="L80" s="5">
        <f>Orçamento!M13</f>
        <v>0</v>
      </c>
    </row>
    <row r="81" spans="1:12" x14ac:dyDescent="0.25">
      <c r="A81" s="4" t="s">
        <v>23</v>
      </c>
      <c r="B81" s="5">
        <f>Orçamento!L14</f>
        <v>0</v>
      </c>
      <c r="K81" s="4" t="s">
        <v>23</v>
      </c>
      <c r="L81" s="5">
        <f>Orçamento!M14</f>
        <v>0</v>
      </c>
    </row>
    <row r="82" spans="1:12" x14ac:dyDescent="0.25">
      <c r="A82" s="4" t="s">
        <v>24</v>
      </c>
      <c r="B82" s="5">
        <f>Orçamento!L15</f>
        <v>0</v>
      </c>
      <c r="K82" s="4" t="s">
        <v>24</v>
      </c>
      <c r="L82" s="5">
        <f>Orçamento!M15</f>
        <v>0</v>
      </c>
    </row>
    <row r="83" spans="1:12" x14ac:dyDescent="0.25">
      <c r="A83" s="4" t="s">
        <v>25</v>
      </c>
      <c r="B83" s="5">
        <f>Orçamento!L16</f>
        <v>0</v>
      </c>
      <c r="K83" s="4" t="s">
        <v>25</v>
      </c>
      <c r="L83" s="5">
        <f>Orçamento!M16</f>
        <v>0</v>
      </c>
    </row>
    <row r="84" spans="1:12" x14ac:dyDescent="0.25">
      <c r="A84" s="4" t="s">
        <v>26</v>
      </c>
      <c r="B84" s="5">
        <f>Orçamento!L17</f>
        <v>0</v>
      </c>
      <c r="K84" s="4" t="s">
        <v>26</v>
      </c>
      <c r="L84" s="5">
        <f>Orçamento!M17</f>
        <v>0</v>
      </c>
    </row>
    <row r="85" spans="1:12" x14ac:dyDescent="0.25">
      <c r="A85" s="4" t="s">
        <v>27</v>
      </c>
      <c r="B85" s="5">
        <f>Orçamento!L18</f>
        <v>0</v>
      </c>
      <c r="K85" s="4" t="s">
        <v>27</v>
      </c>
      <c r="L85" s="5">
        <f>Orçamento!M18</f>
        <v>0</v>
      </c>
    </row>
    <row r="86" spans="1:12" x14ac:dyDescent="0.25">
      <c r="A86" s="4" t="s">
        <v>28</v>
      </c>
      <c r="B86" s="5">
        <f>Orçamento!L19</f>
        <v>0</v>
      </c>
      <c r="K86" s="4" t="s">
        <v>28</v>
      </c>
      <c r="L86" s="5">
        <f>Orçamento!M19</f>
        <v>0</v>
      </c>
    </row>
    <row r="87" spans="1:12" x14ac:dyDescent="0.25">
      <c r="A87" s="4" t="s">
        <v>29</v>
      </c>
      <c r="B87" s="5">
        <f>Orçamento!L20</f>
        <v>0</v>
      </c>
      <c r="K87" s="4" t="s">
        <v>29</v>
      </c>
      <c r="L87" s="5">
        <f>Orçamento!M20</f>
        <v>0</v>
      </c>
    </row>
    <row r="88" spans="1:12" x14ac:dyDescent="0.25">
      <c r="A88" s="4" t="s">
        <v>32</v>
      </c>
      <c r="B88" s="5">
        <f>Orçamento!L21</f>
        <v>0</v>
      </c>
      <c r="K88" s="4" t="s">
        <v>32</v>
      </c>
      <c r="L88" s="5">
        <f>Orçamento!M21</f>
        <v>0</v>
      </c>
    </row>
    <row r="89" spans="1:12" x14ac:dyDescent="0.25">
      <c r="A89" s="4" t="s">
        <v>33</v>
      </c>
      <c r="B89" s="5">
        <f>Orçamento!L22</f>
        <v>0</v>
      </c>
      <c r="K89" s="4" t="s">
        <v>33</v>
      </c>
      <c r="L89" s="5">
        <f>Orçamento!M22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autoLine="0" r:id="rId4">
            <anchor moveWithCells="1">
              <from>
                <xdr:col>20</xdr:col>
                <xdr:colOff>76200</xdr:colOff>
                <xdr:row>1</xdr:row>
                <xdr:rowOff>85725</xdr:rowOff>
              </from>
              <to>
                <xdr:col>21</xdr:col>
                <xdr:colOff>381000</xdr:colOff>
                <xdr:row>3</xdr:row>
                <xdr:rowOff>9525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autoLine="0" r:id="rId6">
            <anchor moveWithCells="1">
              <from>
                <xdr:col>20</xdr:col>
                <xdr:colOff>285750</xdr:colOff>
                <xdr:row>27</xdr:row>
                <xdr:rowOff>114300</xdr:rowOff>
              </from>
              <to>
                <xdr:col>21</xdr:col>
                <xdr:colOff>590550</xdr:colOff>
                <xdr:row>29</xdr:row>
                <xdr:rowOff>38100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Orçamento</vt:lpstr>
      <vt:lpstr>Gráfico Anual</vt:lpstr>
      <vt:lpstr>Gráfico Despesas Mensal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2016-03-27T17:49:44Z</dcterms:created>
  <dcterms:modified xsi:type="dcterms:W3CDTF">2016-04-17T00:22:16Z</dcterms:modified>
</cp:coreProperties>
</file>